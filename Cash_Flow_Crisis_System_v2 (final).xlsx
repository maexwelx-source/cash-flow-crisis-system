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exw\Desktop\Project\Cash Flow Crisis System\"/>
    </mc:Choice>
  </mc:AlternateContent>
  <xr:revisionPtr revIDLastSave="0" documentId="8_{4F37AB65-6F34-47F8-8E8E-6D2901E1829D}" xr6:coauthVersionLast="47" xr6:coauthVersionMax="47" xr10:uidLastSave="{00000000-0000-0000-0000-000000000000}"/>
  <workbookProtection workbookAlgorithmName="SHA-512" workbookHashValue="UYCOuJUF2MPOxKRO/4eCfCxstOSEmFV/HDCf1VMcrtIFFS+iQow6PUktSqjN2IPfPMtDOZjM5c4PY51V+5LtgA==" workbookSaltValue="NXMkLejdFA3MCOKG8dThtA==" workbookSpinCount="100000" lockStructure="1"/>
  <bookViews>
    <workbookView xWindow="-120" yWindow="-120" windowWidth="29040" windowHeight="15720" tabRatio="500" activeTab="1" xr2:uid="{00000000-000D-0000-FFFF-FFFF00000000}"/>
  </bookViews>
  <sheets>
    <sheet name="Assumptions" sheetId="1" r:id="rId1"/>
    <sheet name="Decisions" sheetId="2" r:id="rId2"/>
    <sheet name="Cash Flow Model" sheetId="3" r:id="rId3"/>
    <sheet name="Export_Data" sheetId="4" state="hidden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1" i="4" l="1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Z20" i="3"/>
  <c r="E193" i="4" s="1"/>
  <c r="Y20" i="3"/>
  <c r="E192" i="4" s="1"/>
  <c r="X20" i="3"/>
  <c r="E191" i="4" s="1"/>
  <c r="W20" i="3"/>
  <c r="E190" i="4" s="1"/>
  <c r="V20" i="3"/>
  <c r="E189" i="4" s="1"/>
  <c r="U20" i="3"/>
  <c r="E188" i="4" s="1"/>
  <c r="T20" i="3"/>
  <c r="E187" i="4" s="1"/>
  <c r="S20" i="3"/>
  <c r="E186" i="4" s="1"/>
  <c r="R20" i="3"/>
  <c r="E185" i="4" s="1"/>
  <c r="Q20" i="3"/>
  <c r="E184" i="4" s="1"/>
  <c r="P20" i="3"/>
  <c r="E183" i="4" s="1"/>
  <c r="O20" i="3"/>
  <c r="E182" i="4" s="1"/>
  <c r="N20" i="3"/>
  <c r="E181" i="4" s="1"/>
  <c r="M20" i="3"/>
  <c r="E180" i="4" s="1"/>
  <c r="L20" i="3"/>
  <c r="E179" i="4" s="1"/>
  <c r="K20" i="3"/>
  <c r="E178" i="4" s="1"/>
  <c r="J20" i="3"/>
  <c r="E177" i="4" s="1"/>
  <c r="I20" i="3"/>
  <c r="E176" i="4" s="1"/>
  <c r="H20" i="3"/>
  <c r="E175" i="4" s="1"/>
  <c r="G20" i="3"/>
  <c r="E174" i="4" s="1"/>
  <c r="F20" i="3"/>
  <c r="E173" i="4" s="1"/>
  <c r="E20" i="3"/>
  <c r="E172" i="4" s="1"/>
  <c r="D20" i="3"/>
  <c r="E171" i="4" s="1"/>
  <c r="C20" i="3"/>
  <c r="E170" i="4" s="1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Z15" i="3"/>
  <c r="E169" i="4" s="1"/>
  <c r="Y15" i="3"/>
  <c r="E168" i="4" s="1"/>
  <c r="X15" i="3"/>
  <c r="W15" i="3"/>
  <c r="E166" i="4" s="1"/>
  <c r="V15" i="3"/>
  <c r="U15" i="3"/>
  <c r="E164" i="4" s="1"/>
  <c r="T15" i="3"/>
  <c r="E163" i="4" s="1"/>
  <c r="S15" i="3"/>
  <c r="E162" i="4" s="1"/>
  <c r="R15" i="3"/>
  <c r="E161" i="4" s="1"/>
  <c r="Q15" i="3"/>
  <c r="P15" i="3"/>
  <c r="E159" i="4" s="1"/>
  <c r="O15" i="3"/>
  <c r="E158" i="4" s="1"/>
  <c r="N15" i="3"/>
  <c r="E157" i="4" s="1"/>
  <c r="M15" i="3"/>
  <c r="E156" i="4" s="1"/>
  <c r="L15" i="3"/>
  <c r="K15" i="3"/>
  <c r="E154" i="4" s="1"/>
  <c r="J15" i="3"/>
  <c r="I15" i="3"/>
  <c r="E152" i="4" s="1"/>
  <c r="H15" i="3"/>
  <c r="E151" i="4" s="1"/>
  <c r="G15" i="3"/>
  <c r="E150" i="4" s="1"/>
  <c r="F15" i="3"/>
  <c r="E149" i="4" s="1"/>
  <c r="E15" i="3"/>
  <c r="D15" i="3"/>
  <c r="E147" i="4" s="1"/>
  <c r="C15" i="3"/>
  <c r="E146" i="4" s="1"/>
  <c r="C11" i="3"/>
  <c r="C9" i="3"/>
  <c r="D9" i="3" s="1"/>
  <c r="D10" i="3" s="1"/>
  <c r="E219" i="4" s="1"/>
  <c r="J3" i="3"/>
  <c r="E9" i="3" l="1"/>
  <c r="F9" i="3" s="1"/>
  <c r="F10" i="3" s="1"/>
  <c r="E221" i="4" s="1"/>
  <c r="C10" i="3"/>
  <c r="E218" i="4" s="1"/>
  <c r="E194" i="4"/>
  <c r="C12" i="3"/>
  <c r="E148" i="4"/>
  <c r="E160" i="4"/>
  <c r="E153" i="4"/>
  <c r="E165" i="4"/>
  <c r="E155" i="4"/>
  <c r="E167" i="4"/>
  <c r="D11" i="3" l="1"/>
  <c r="E195" i="4" s="1"/>
  <c r="G9" i="3"/>
  <c r="E10" i="3"/>
  <c r="E220" i="4" s="1"/>
  <c r="H9" i="3"/>
  <c r="G10" i="3"/>
  <c r="E222" i="4" s="1"/>
  <c r="C21" i="3"/>
  <c r="C19" i="3"/>
  <c r="C13" i="3"/>
  <c r="E11" i="3" l="1"/>
  <c r="E196" i="4" s="1"/>
  <c r="D12" i="3"/>
  <c r="D13" i="3" s="1"/>
  <c r="E3" i="4"/>
  <c r="D21" i="3"/>
  <c r="D19" i="3"/>
  <c r="D22" i="3" s="1"/>
  <c r="E123" i="4" s="1"/>
  <c r="C22" i="3"/>
  <c r="E122" i="4" s="1"/>
  <c r="E2" i="4"/>
  <c r="H10" i="3"/>
  <c r="E223" i="4" s="1"/>
  <c r="I9" i="3"/>
  <c r="E12" i="3" l="1"/>
  <c r="E13" i="3" s="1"/>
  <c r="E4" i="4" s="1"/>
  <c r="F11" i="3"/>
  <c r="D23" i="3"/>
  <c r="J9" i="3"/>
  <c r="I10" i="3"/>
  <c r="E224" i="4" s="1"/>
  <c r="E197" i="4"/>
  <c r="F12" i="3"/>
  <c r="G11" i="3"/>
  <c r="C23" i="3"/>
  <c r="E19" i="3"/>
  <c r="E21" i="3" l="1"/>
  <c r="E22" i="3" s="1"/>
  <c r="E124" i="4" s="1"/>
  <c r="F13" i="3"/>
  <c r="J10" i="3"/>
  <c r="E225" i="4" s="1"/>
  <c r="K9" i="3"/>
  <c r="E5" i="4"/>
  <c r="E26" i="4"/>
  <c r="C31" i="3"/>
  <c r="C25" i="3"/>
  <c r="E27" i="4"/>
  <c r="D31" i="3"/>
  <c r="D25" i="3"/>
  <c r="E198" i="4"/>
  <c r="H11" i="3"/>
  <c r="G12" i="3"/>
  <c r="F21" i="3"/>
  <c r="F19" i="3"/>
  <c r="F22" i="3" s="1"/>
  <c r="E125" i="4" s="1"/>
  <c r="G13" i="3"/>
  <c r="E23" i="3" l="1"/>
  <c r="E199" i="4"/>
  <c r="H12" i="3"/>
  <c r="I11" i="3"/>
  <c r="E28" i="4"/>
  <c r="E31" i="3"/>
  <c r="E25" i="3"/>
  <c r="L9" i="3"/>
  <c r="K10" i="3"/>
  <c r="E226" i="4" s="1"/>
  <c r="E51" i="4"/>
  <c r="D29" i="3"/>
  <c r="D28" i="3"/>
  <c r="E99" i="4" s="1"/>
  <c r="E50" i="4"/>
  <c r="C26" i="3"/>
  <c r="C28" i="3"/>
  <c r="C29" i="3" s="1"/>
  <c r="C30" i="3" s="1"/>
  <c r="E6" i="4"/>
  <c r="F23" i="3"/>
  <c r="H13" i="3"/>
  <c r="G21" i="3"/>
  <c r="G19" i="3"/>
  <c r="G22" i="3" s="1"/>
  <c r="E126" i="4" s="1"/>
  <c r="E7" i="4" l="1"/>
  <c r="E29" i="4"/>
  <c r="F31" i="3"/>
  <c r="F25" i="3"/>
  <c r="D30" i="3"/>
  <c r="D3" i="3"/>
  <c r="E74" i="4"/>
  <c r="D26" i="3"/>
  <c r="E98" i="4"/>
  <c r="H21" i="3"/>
  <c r="H19" i="3"/>
  <c r="H22" i="3" s="1"/>
  <c r="E127" i="4" s="1"/>
  <c r="G23" i="3"/>
  <c r="L10" i="3"/>
  <c r="E227" i="4" s="1"/>
  <c r="M9" i="3"/>
  <c r="E52" i="4"/>
  <c r="E29" i="3"/>
  <c r="E30" i="3" s="1"/>
  <c r="E28" i="3"/>
  <c r="E100" i="4" s="1"/>
  <c r="J11" i="3"/>
  <c r="E200" i="4"/>
  <c r="I12" i="3"/>
  <c r="I21" i="3" l="1"/>
  <c r="I19" i="3"/>
  <c r="J12" i="3"/>
  <c r="E201" i="4"/>
  <c r="K11" i="3"/>
  <c r="E75" i="4"/>
  <c r="E26" i="3"/>
  <c r="E53" i="4"/>
  <c r="F29" i="3"/>
  <c r="F30" i="3" s="1"/>
  <c r="F28" i="3"/>
  <c r="H23" i="3"/>
  <c r="N9" i="3"/>
  <c r="M10" i="3"/>
  <c r="E228" i="4" s="1"/>
  <c r="E30" i="4"/>
  <c r="G31" i="3"/>
  <c r="G25" i="3"/>
  <c r="I13" i="3"/>
  <c r="E54" i="4" l="1"/>
  <c r="G29" i="3"/>
  <c r="G30" i="3" s="1"/>
  <c r="G28" i="3"/>
  <c r="E102" i="4" s="1"/>
  <c r="E8" i="4"/>
  <c r="E101" i="4"/>
  <c r="E76" i="4"/>
  <c r="F26" i="3"/>
  <c r="J21" i="3"/>
  <c r="J19" i="3"/>
  <c r="I22" i="3"/>
  <c r="E128" i="4" s="1"/>
  <c r="L11" i="3"/>
  <c r="E202" i="4"/>
  <c r="K12" i="3"/>
  <c r="N10" i="3"/>
  <c r="E229" i="4" s="1"/>
  <c r="O9" i="3"/>
  <c r="E31" i="4"/>
  <c r="H31" i="3"/>
  <c r="H25" i="3"/>
  <c r="J13" i="3"/>
  <c r="E9" i="4" l="1"/>
  <c r="E55" i="4"/>
  <c r="H29" i="3"/>
  <c r="H30" i="3" s="1"/>
  <c r="H28" i="3"/>
  <c r="E77" i="4"/>
  <c r="G26" i="3"/>
  <c r="L13" i="3"/>
  <c r="K21" i="3"/>
  <c r="K22" i="3" s="1"/>
  <c r="E130" i="4" s="1"/>
  <c r="K19" i="3"/>
  <c r="P9" i="3"/>
  <c r="O10" i="3"/>
  <c r="E230" i="4" s="1"/>
  <c r="J22" i="3"/>
  <c r="E129" i="4" s="1"/>
  <c r="L12" i="3"/>
  <c r="E203" i="4"/>
  <c r="M11" i="3"/>
  <c r="I23" i="3"/>
  <c r="K13" i="3"/>
  <c r="E11" i="4" l="1"/>
  <c r="N11" i="3"/>
  <c r="E204" i="4"/>
  <c r="M12" i="3"/>
  <c r="L21" i="3"/>
  <c r="L19" i="3"/>
  <c r="M13" i="3"/>
  <c r="E10" i="4"/>
  <c r="E32" i="4"/>
  <c r="I31" i="3"/>
  <c r="I25" i="3"/>
  <c r="E78" i="4"/>
  <c r="H26" i="3"/>
  <c r="E103" i="4"/>
  <c r="J23" i="3"/>
  <c r="P10" i="3"/>
  <c r="E231" i="4" s="1"/>
  <c r="Q9" i="3"/>
  <c r="K23" i="3"/>
  <c r="K25" i="3" s="1"/>
  <c r="E58" i="4" l="1"/>
  <c r="K28" i="3"/>
  <c r="E106" i="4" s="1"/>
  <c r="K29" i="3"/>
  <c r="K30" i="3" s="1"/>
  <c r="R9" i="3"/>
  <c r="Q10" i="3"/>
  <c r="E232" i="4" s="1"/>
  <c r="E34" i="4"/>
  <c r="K31" i="3"/>
  <c r="L23" i="3"/>
  <c r="E205" i="4"/>
  <c r="N12" i="3"/>
  <c r="O11" i="3"/>
  <c r="E12" i="4"/>
  <c r="L22" i="3"/>
  <c r="E131" i="4" s="1"/>
  <c r="M19" i="3"/>
  <c r="M21" i="3"/>
  <c r="J31" i="3"/>
  <c r="E33" i="4"/>
  <c r="J25" i="3"/>
  <c r="E79" i="4"/>
  <c r="I26" i="3"/>
  <c r="E56" i="4"/>
  <c r="I28" i="3"/>
  <c r="I29" i="3"/>
  <c r="I30" i="3" s="1"/>
  <c r="M22" i="3" l="1"/>
  <c r="E132" i="4" s="1"/>
  <c r="J26" i="3"/>
  <c r="E80" i="4"/>
  <c r="R10" i="3"/>
  <c r="E233" i="4" s="1"/>
  <c r="S9" i="3"/>
  <c r="E206" i="4"/>
  <c r="P11" i="3"/>
  <c r="O12" i="3"/>
  <c r="J29" i="3"/>
  <c r="J30" i="3" s="1"/>
  <c r="J28" i="3"/>
  <c r="E105" i="4" s="1"/>
  <c r="E57" i="4"/>
  <c r="L31" i="3"/>
  <c r="E35" i="4"/>
  <c r="L25" i="3"/>
  <c r="M23" i="3"/>
  <c r="N21" i="3"/>
  <c r="N19" i="3"/>
  <c r="N22" i="3" s="1"/>
  <c r="E133" i="4" s="1"/>
  <c r="N13" i="3"/>
  <c r="E104" i="4"/>
  <c r="O19" i="3" l="1"/>
  <c r="O21" i="3"/>
  <c r="E207" i="4"/>
  <c r="P12" i="3"/>
  <c r="Q11" i="3"/>
  <c r="E13" i="4"/>
  <c r="O13" i="3"/>
  <c r="E36" i="4"/>
  <c r="M31" i="3"/>
  <c r="M25" i="3"/>
  <c r="N23" i="3"/>
  <c r="N25" i="3" s="1"/>
  <c r="T9" i="3"/>
  <c r="S10" i="3"/>
  <c r="E234" i="4" s="1"/>
  <c r="L29" i="3"/>
  <c r="L30" i="3" s="1"/>
  <c r="L28" i="3"/>
  <c r="E59" i="4"/>
  <c r="E81" i="4"/>
  <c r="K26" i="3"/>
  <c r="O22" i="3" l="1"/>
  <c r="E134" i="4" s="1"/>
  <c r="E61" i="4"/>
  <c r="N29" i="3"/>
  <c r="N30" i="3" s="1"/>
  <c r="N28" i="3"/>
  <c r="E109" i="4" s="1"/>
  <c r="T10" i="3"/>
  <c r="E235" i="4" s="1"/>
  <c r="U9" i="3"/>
  <c r="E208" i="4"/>
  <c r="R11" i="3"/>
  <c r="Q12" i="3"/>
  <c r="E107" i="4"/>
  <c r="P21" i="3"/>
  <c r="P22" i="3" s="1"/>
  <c r="E135" i="4" s="1"/>
  <c r="P19" i="3"/>
  <c r="E14" i="4"/>
  <c r="L26" i="3"/>
  <c r="E82" i="4"/>
  <c r="O23" i="3"/>
  <c r="O25" i="3" s="1"/>
  <c r="E37" i="4"/>
  <c r="N31" i="3"/>
  <c r="E60" i="4"/>
  <c r="M28" i="3"/>
  <c r="E108" i="4" s="1"/>
  <c r="M29" i="3"/>
  <c r="M30" i="3" s="1"/>
  <c r="P13" i="3"/>
  <c r="E62" i="4" l="1"/>
  <c r="O28" i="3"/>
  <c r="E110" i="4" s="1"/>
  <c r="O29" i="3"/>
  <c r="O30" i="3" s="1"/>
  <c r="Q21" i="3"/>
  <c r="Q19" i="3"/>
  <c r="Q22" i="3" s="1"/>
  <c r="E136" i="4" s="1"/>
  <c r="E209" i="4"/>
  <c r="R12" i="3"/>
  <c r="R13" i="3" s="1"/>
  <c r="S11" i="3"/>
  <c r="E83" i="4"/>
  <c r="M26" i="3"/>
  <c r="E38" i="4"/>
  <c r="O31" i="3"/>
  <c r="V9" i="3"/>
  <c r="U10" i="3"/>
  <c r="E236" i="4" s="1"/>
  <c r="Q13" i="3"/>
  <c r="E15" i="4"/>
  <c r="P23" i="3"/>
  <c r="E17" i="4" l="1"/>
  <c r="E210" i="4"/>
  <c r="T11" i="3"/>
  <c r="S12" i="3"/>
  <c r="S13" i="3" s="1"/>
  <c r="E16" i="4"/>
  <c r="Q23" i="3"/>
  <c r="Q25" i="3" s="1"/>
  <c r="V10" i="3"/>
  <c r="E237" i="4" s="1"/>
  <c r="W9" i="3"/>
  <c r="E39" i="4"/>
  <c r="P31" i="3"/>
  <c r="N26" i="3"/>
  <c r="E84" i="4"/>
  <c r="R21" i="3"/>
  <c r="R19" i="3"/>
  <c r="P25" i="3"/>
  <c r="E64" i="4" l="1"/>
  <c r="Q29" i="3"/>
  <c r="Q30" i="3" s="1"/>
  <c r="Q28" i="3"/>
  <c r="E112" i="4" s="1"/>
  <c r="E63" i="4"/>
  <c r="P29" i="3"/>
  <c r="P30" i="3" s="1"/>
  <c r="P28" i="3"/>
  <c r="E111" i="4" s="1"/>
  <c r="T13" i="3"/>
  <c r="S21" i="3"/>
  <c r="S19" i="3"/>
  <c r="S22" i="3"/>
  <c r="E138" i="4" s="1"/>
  <c r="X9" i="3"/>
  <c r="W10" i="3"/>
  <c r="E238" i="4" s="1"/>
  <c r="E40" i="4"/>
  <c r="Q31" i="3"/>
  <c r="E211" i="4"/>
  <c r="T12" i="3"/>
  <c r="U11" i="3"/>
  <c r="E18" i="4"/>
  <c r="R22" i="3"/>
  <c r="E137" i="4" s="1"/>
  <c r="E85" i="4"/>
  <c r="O26" i="3"/>
  <c r="E86" i="4" l="1"/>
  <c r="P26" i="3"/>
  <c r="S23" i="3"/>
  <c r="V11" i="3"/>
  <c r="E212" i="4"/>
  <c r="U12" i="3"/>
  <c r="T21" i="3"/>
  <c r="T19" i="3"/>
  <c r="T22" i="3" s="1"/>
  <c r="E139" i="4" s="1"/>
  <c r="U13" i="3"/>
  <c r="R23" i="3"/>
  <c r="X10" i="3"/>
  <c r="E239" i="4" s="1"/>
  <c r="Y9" i="3"/>
  <c r="E19" i="4"/>
  <c r="E20" i="4" l="1"/>
  <c r="T23" i="3"/>
  <c r="V12" i="3"/>
  <c r="E213" i="4"/>
  <c r="W11" i="3"/>
  <c r="E87" i="4"/>
  <c r="Q26" i="3"/>
  <c r="E41" i="4"/>
  <c r="R31" i="3"/>
  <c r="R25" i="3"/>
  <c r="V13" i="3"/>
  <c r="U19" i="3"/>
  <c r="U22" i="3" s="1"/>
  <c r="E140" i="4" s="1"/>
  <c r="U21" i="3"/>
  <c r="E42" i="4"/>
  <c r="S31" i="3"/>
  <c r="S25" i="3"/>
  <c r="Z9" i="3"/>
  <c r="Z10" i="3" s="1"/>
  <c r="E241" i="4" s="1"/>
  <c r="Y10" i="3"/>
  <c r="E240" i="4" s="1"/>
  <c r="E21" i="4" l="1"/>
  <c r="E88" i="4"/>
  <c r="R26" i="3"/>
  <c r="E66" i="4"/>
  <c r="S29" i="3"/>
  <c r="S30" i="3" s="1"/>
  <c r="S28" i="3"/>
  <c r="E114" i="4" s="1"/>
  <c r="E43" i="4"/>
  <c r="T31" i="3"/>
  <c r="T25" i="3"/>
  <c r="E65" i="4"/>
  <c r="R29" i="3"/>
  <c r="R30" i="3" s="1"/>
  <c r="R28" i="3"/>
  <c r="E113" i="4" s="1"/>
  <c r="X11" i="3"/>
  <c r="E214" i="4"/>
  <c r="W12" i="3"/>
  <c r="V21" i="3"/>
  <c r="V19" i="3"/>
  <c r="V22" i="3" s="1"/>
  <c r="E141" i="4" s="1"/>
  <c r="W13" i="3"/>
  <c r="U23" i="3"/>
  <c r="E22" i="4" l="1"/>
  <c r="V23" i="3"/>
  <c r="X12" i="3"/>
  <c r="E215" i="4"/>
  <c r="Y11" i="3"/>
  <c r="E67" i="4"/>
  <c r="T29" i="3"/>
  <c r="T30" i="3" s="1"/>
  <c r="T28" i="3"/>
  <c r="E115" i="4" s="1"/>
  <c r="E44" i="4"/>
  <c r="U31" i="3"/>
  <c r="U25" i="3"/>
  <c r="W21" i="3"/>
  <c r="W19" i="3"/>
  <c r="E89" i="4"/>
  <c r="S26" i="3"/>
  <c r="E68" i="4" l="1"/>
  <c r="U28" i="3"/>
  <c r="E116" i="4" s="1"/>
  <c r="U29" i="3"/>
  <c r="U30" i="3" s="1"/>
  <c r="Z11" i="3"/>
  <c r="E216" i="4"/>
  <c r="Y12" i="3"/>
  <c r="X21" i="3"/>
  <c r="X19" i="3"/>
  <c r="Y13" i="3"/>
  <c r="E90" i="4"/>
  <c r="T26" i="3"/>
  <c r="W22" i="3"/>
  <c r="E142" i="4" s="1"/>
  <c r="V31" i="3"/>
  <c r="E45" i="4"/>
  <c r="V25" i="3"/>
  <c r="X13" i="3"/>
  <c r="X22" i="3" l="1"/>
  <c r="E143" i="4" s="1"/>
  <c r="Y21" i="3"/>
  <c r="Y19" i="3"/>
  <c r="E91" i="4"/>
  <c r="U26" i="3"/>
  <c r="E23" i="4"/>
  <c r="V29" i="3"/>
  <c r="V30" i="3" s="1"/>
  <c r="V28" i="3"/>
  <c r="E117" i="4" s="1"/>
  <c r="E69" i="4"/>
  <c r="E24" i="4"/>
  <c r="E217" i="4"/>
  <c r="Z12" i="3"/>
  <c r="W23" i="3"/>
  <c r="V26" i="3" l="1"/>
  <c r="E92" i="4"/>
  <c r="E46" i="4"/>
  <c r="W31" i="3"/>
  <c r="W25" i="3"/>
  <c r="Z21" i="3"/>
  <c r="Z19" i="3"/>
  <c r="Y22" i="3"/>
  <c r="E144" i="4" s="1"/>
  <c r="Z13" i="3"/>
  <c r="X23" i="3"/>
  <c r="E25" i="4" l="1"/>
  <c r="Y23" i="3"/>
  <c r="E70" i="4"/>
  <c r="W29" i="3"/>
  <c r="W30" i="3" s="1"/>
  <c r="W28" i="3"/>
  <c r="E118" i="4" s="1"/>
  <c r="X31" i="3"/>
  <c r="E47" i="4"/>
  <c r="X25" i="3"/>
  <c r="Z22" i="3"/>
  <c r="E145" i="4" s="1"/>
  <c r="E93" i="4"/>
  <c r="W26" i="3"/>
  <c r="Z23" i="3" l="1"/>
  <c r="X29" i="3"/>
  <c r="X30" i="3" s="1"/>
  <c r="X28" i="3"/>
  <c r="E119" i="4" s="1"/>
  <c r="E71" i="4"/>
  <c r="E48" i="4"/>
  <c r="Y31" i="3"/>
  <c r="Y25" i="3"/>
  <c r="X26" i="3"/>
  <c r="E94" i="4"/>
  <c r="E95" i="4" l="1"/>
  <c r="Y26" i="3"/>
  <c r="E72" i="4"/>
  <c r="Y29" i="3"/>
  <c r="Y30" i="3" s="1"/>
  <c r="Y28" i="3"/>
  <c r="E120" i="4" s="1"/>
  <c r="E49" i="4"/>
  <c r="Z31" i="3"/>
  <c r="G3" i="3" s="1"/>
  <c r="Z25" i="3"/>
  <c r="E73" i="4" l="1"/>
  <c r="Z29" i="3"/>
  <c r="Z30" i="3" s="1"/>
  <c r="Z28" i="3"/>
  <c r="M3" i="3"/>
  <c r="Z26" i="3"/>
  <c r="E97" i="4" s="1"/>
  <c r="E96" i="4"/>
  <c r="E121" i="4" l="1"/>
  <c r="A3" i="3"/>
</calcChain>
</file>

<file path=xl/sharedStrings.xml><?xml version="1.0" encoding="utf-8"?>
<sst xmlns="http://schemas.openxmlformats.org/spreadsheetml/2006/main" count="1424" uniqueCount="246">
  <si>
    <t>LIQUIDITY MODEL  ·  ASSUMPTIONS</t>
  </si>
  <si>
    <t xml:space="preserve">  Blue-bordered cells are editable inputs  ·  All calculations update automatically</t>
  </si>
  <si>
    <t>Parameter</t>
  </si>
  <si>
    <t>Value</t>
  </si>
  <si>
    <t>Notes</t>
  </si>
  <si>
    <t>Conversion Rate</t>
  </si>
  <si>
    <t>Lead-to-sale conversion %</t>
  </si>
  <si>
    <t>Average Check ($)</t>
  </si>
  <si>
    <t>Average revenue per new sale</t>
  </si>
  <si>
    <t>Monthly Lead Count</t>
  </si>
  <si>
    <t>Leads entering pipeline per month</t>
  </si>
  <si>
    <t>Lead Growth MoM (%)</t>
  </si>
  <si>
    <t>Monthly growth in lead count</t>
  </si>
  <si>
    <t>Opening MRR ($)</t>
  </si>
  <si>
    <t>Existing MRR at model start</t>
  </si>
  <si>
    <t>Base Churn Rate (%)</t>
  </si>
  <si>
    <t>Monthly logo churn on existing MRR</t>
  </si>
  <si>
    <t>Rent ($)</t>
  </si>
  <si>
    <t>Fixed monthly office rent</t>
  </si>
  <si>
    <t>Software / SaaS ($)</t>
  </si>
  <si>
    <t>Fixed SaaS licences</t>
  </si>
  <si>
    <t>Payroll ($)</t>
  </si>
  <si>
    <t>Base monthly payroll (ФОТ)</t>
  </si>
  <si>
    <t>Infrastructure ($)</t>
  </si>
  <si>
    <t>Cloud / hosting</t>
  </si>
  <si>
    <t>Support ($)</t>
  </si>
  <si>
    <t>Customer support team</t>
  </si>
  <si>
    <t>Marketing Base ($)</t>
  </si>
  <si>
    <t>Campaigns &amp; ads base spend</t>
  </si>
  <si>
    <t>Variable Costs (% Rev)</t>
  </si>
  <si>
    <t>Variable costs as % of revenue</t>
  </si>
  <si>
    <t>Payroll Annual Growth (%)</t>
  </si>
  <si>
    <t>Annual payroll growth (new hires). Set 0 or use Freeze Hiring to stop.</t>
  </si>
  <si>
    <t>Inflation (%)</t>
  </si>
  <si>
    <t>Annual inflation applied to fixed costs</t>
  </si>
  <si>
    <t>Tax Rate (%)</t>
  </si>
  <si>
    <t>Effective corporate tax rate</t>
  </si>
  <si>
    <t>AR Delay (days)</t>
  </si>
  <si>
    <t>Days client payment is delayed (30=1mo lag)</t>
  </si>
  <si>
    <t>Inventory Turnover</t>
  </si>
  <si>
    <t>Not connected. For product cos: add Inventory=COGS/Inv_Turnover as Outflow row.</t>
  </si>
  <si>
    <t>Support Scale Rate (% Rev)</t>
  </si>
  <si>
    <t>Support = MAX(Base, Gross_Revenue × this rate). Uses MRR/Gross Revenue (row 12), not cash inflow. Scales with business size.</t>
  </si>
  <si>
    <t>Opening Cash ($)</t>
  </si>
  <si>
    <t>Starting cash balance</t>
  </si>
  <si>
    <t>Crisis Churn Month</t>
  </si>
  <si>
    <t>Crisis churn applies FROM this month (inclusive). Formula: IF(month&gt;=B35, crisis_rate, base_rate).</t>
  </si>
  <si>
    <t>Crisis Churn Rate (%)</t>
  </si>
  <si>
    <t>Churn rate used from Crisis_Churn_Month onwards (inclusive).</t>
  </si>
  <si>
    <t>Crisis Salary Month</t>
  </si>
  <si>
    <t>Month salary cost hike begins</t>
  </si>
  <si>
    <t>Crisis Salary Mult</t>
  </si>
  <si>
    <t>Salary multiplier after trigger</t>
  </si>
  <si>
    <t>Crisis Mktg Month</t>
  </si>
  <si>
    <t>Month marketing hike begins</t>
  </si>
  <si>
    <t>Crisis Mktg Mult</t>
  </si>
  <si>
    <t>Marketing spend multiplier after trigger</t>
  </si>
  <si>
    <t>Runway Alert (months)</t>
  </si>
  <si>
    <t>Alert threshold for low runway</t>
  </si>
  <si>
    <t>ANTI-CRISIS DECISIONS  ·  CONTROL PANEL</t>
  </si>
  <si>
    <t>MEASURE</t>
  </si>
  <si>
    <t>EFFECT</t>
  </si>
  <si>
    <t>UNIT</t>
  </si>
  <si>
    <t>DESCRIPTION / IMPACT</t>
  </si>
  <si>
    <t>APPLY MONTH</t>
  </si>
  <si>
    <t>Cut Marketing Spend</t>
  </si>
  <si>
    <t>%</t>
  </si>
  <si>
    <t>Reduces marketing by 50% → pause paid ads</t>
  </si>
  <si>
    <t>—</t>
  </si>
  <si>
    <t>Cut Headcount (Layoffs)</t>
  </si>
  <si>
    <t>Reduces payroll by 20% → freeze + reduction</t>
  </si>
  <si>
    <t>Freeze Hiring</t>
  </si>
  <si>
    <t>binary</t>
  </si>
  <si>
    <t>Freeze hiring: payroll growth stops (growth rate in Assumptions B21 → 0). Base salaries still apply; no new headcount costs.</t>
  </si>
  <si>
    <t>Raise Prices</t>
  </si>
  <si>
    <t>Increases avg check by 10%</t>
  </si>
  <si>
    <t>Reduce Churn (Retention)</t>
  </si>
  <si>
    <t>Retention campaign drops churn by 2pp</t>
  </si>
  <si>
    <t>Kill Infra 20%</t>
  </si>
  <si>
    <t>Audit &amp; cut unused cloud/SaaS by 20%</t>
  </si>
  <si>
    <t>Collect AR Faster</t>
  </si>
  <si>
    <t>days</t>
  </si>
  <si>
    <t>Shorten AR delay by 15 days</t>
  </si>
  <si>
    <t>Emergency Fundraise</t>
  </si>
  <si>
    <t>$</t>
  </si>
  <si>
    <t>One-time cash injection in model month. Apply Month must be integer 1–24; invalid values silently ignored. ⬅ Only this row uses 'Apply Month' column.</t>
  </si>
  <si>
    <t>ℹ️  Blue=editable. Status 1=ACTIVE, 0=OFF. Column F ('Apply Month') is ONLY for Emergency Fundraise (row 11). All other decisions apply from Month 1.</t>
  </si>
  <si>
    <t>CASH FLOW &amp; LIQUIDITY MODEL</t>
  </si>
  <si>
    <t>AVG BURN RATE</t>
  </si>
  <si>
    <t>MIN RUNWAY</t>
  </si>
  <si>
    <t>BREAKEVEN REVENUE</t>
  </si>
  <si>
    <t>OPENING CASH</t>
  </si>
  <si>
    <t>WORST MONTH NCF</t>
  </si>
  <si>
    <t>Monthly avg when cash-negative</t>
  </si>
  <si>
    <t>Months of runway remaining</t>
  </si>
  <si>
    <t>Revenue needed to cover costs</t>
  </si>
  <si>
    <t>Single worst month cash flow</t>
  </si>
  <si>
    <t>ℹ  Month 1 Inflow = $0 by design: AR Delay = 30 days means January cash arrives in February. Change AR Delay in Assumptions (B29) to 0 for immediate collection. Opening Cash covers the gap.</t>
  </si>
  <si>
    <t>METRIC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</si>
  <si>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</si>
  <si>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</si>
  <si>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</si>
  <si>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</si>
  <si>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</si>
  <si>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</si>
  <si>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</si>
  <si>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</si>
  <si>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</si>
  <si>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</si>
  <si>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</si>
  <si>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</si>
  <si>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</si>
  <si>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JAN+1</t>
  </si>
  <si>
    <t>FEB+1</t>
  </si>
  <si>
    <t>MAR+1</t>
  </si>
  <si>
    <t>APR+1</t>
  </si>
  <si>
    <t>MAY+1</t>
  </si>
  <si>
    <t>JUN+1</t>
  </si>
  <si>
    <t>JUL+1</t>
  </si>
  <si>
    <t>AUG+1</t>
  </si>
  <si>
    <t>SEP+1</t>
  </si>
  <si>
    <t>OCT+1</t>
  </si>
  <si>
    <t>NOV+1</t>
  </si>
  <si>
    <t>DEC+1</t>
  </si>
  <si>
    <t>FORMULA NOTES</t>
  </si>
  <si>
    <t>▲  INFLOW</t>
  </si>
  <si>
    <t>Leads (Pipeline)</t>
  </si>
  <si>
    <t>Drivers</t>
  </si>
  <si>
    <t>Month 1=Lead_Count(B7). Grows at Lead_Growth(B8) MoM.</t>
  </si>
  <si>
    <t>New MRR Added (→ MRR base)</t>
  </si>
  <si>
    <t>Driver</t>
  </si>
  <si>
    <t>New recurring revenue won. Added to MRR base next month. NOT a separate cash inflow – eliminates double-count. Raise Prices: D7×B7.</t>
  </si>
  <si>
    <t>MRR (Existing Base)</t>
  </si>
  <si>
    <t>Revenue</t>
  </si>
  <si>
    <t>SaaS: (Prior MRR + New MRR Won) × (1−churn). Reduce Churn decision D8×B8. Crisis churn B35/B36.</t>
  </si>
  <si>
    <t>Gross Revenue (MRR)</t>
  </si>
  <si>
    <t>MRR only. New Sales already in MRR base.</t>
  </si>
  <si>
    <t>Total Inflow (AR-lag adj)</t>
  </si>
  <si>
    <t>Proportional lag: frac=MIN(1,AR_days/30). Models 0–30d range precisely. ⚠ Known limitation: delays &gt;30d (45/60/90d) all map to frac=1 (full 1-month shift). For multi-month waterfall, extend model. B29, D10/B10.</t>
  </si>
  <si>
    <t>▼  OUTFLOW</t>
  </si>
  <si>
    <t>Payroll (ФОТ)</t>
  </si>
  <si>
    <t>Cost</t>
  </si>
  <si>
    <t>Grows at B21/12 monthly UNLESS Freeze Hiring D6=1. Crisis mult B37/B38. Cut Headcount D5×B5.</t>
  </si>
  <si>
    <t>Rent</t>
  </si>
  <si>
    <t>Rent(B14) inflation-adjusted monthly. Ref B14, Inflation B24</t>
  </si>
  <si>
    <t>Software / SaaS</t>
  </si>
  <si>
    <t>Software(B15) inflation-adjusted. Ref B15, Inflation B24</t>
  </si>
  <si>
    <t>Infrastructure</t>
  </si>
  <si>
    <t>Infra(B17) × (1 − Kill_Infra_decision D9×B9). Ref B17, Decisions D9/B9</t>
  </si>
  <si>
    <t>Support</t>
  </si>
  <si>
    <t>MAX(Base_Support B18, Gross_Rev×Scale B31). Accrual. B18,B31.</t>
  </si>
  <si>
    <t>Marketing</t>
  </si>
  <si>
    <t>Mktg(B19) × crisis_mult(B39/B40) × (1 − Cut_Mktg D4×B4). Ref B19,B39,B40,D4,B4</t>
  </si>
  <si>
    <t>Variable Costs</t>
  </si>
  <si>
    <t>Var costs on Gross Revenue (accrual). B20.</t>
  </si>
  <si>
    <t>Tax Payment</t>
  </si>
  <si>
    <t>Simplified: tax calculated on accrual-basis profit (Gross Revenue − OpCosts), not on cash received. Standard simplification for operational cash flow models. For pure cash-basis tax, link to actual tax payment schedule. B25.</t>
  </si>
  <si>
    <t>TOTAL OUTFLOW</t>
  </si>
  <si>
    <t>Payroll+Rent+SW+Infra+Support+Mktg+Var+Tax.</t>
  </si>
  <si>
    <t>≡  NET CASH FLOW &amp; BALANCE</t>
  </si>
  <si>
    <t>NET CASH FLOW</t>
  </si>
  <si>
    <t>Inflow − Outflow + Emergency Fundraise if D11=1 in month F11.</t>
  </si>
  <si>
    <t>CLOSING BALANCE</t>
  </si>
  <si>
    <t>Burn Rate</t>
  </si>
  <si>
    <t>KPI</t>
  </si>
  <si>
    <t>ABS(NCF) when NCF negative, else 0.</t>
  </si>
  <si>
    <t>Runway (months)</t>
  </si>
  <si>
    <t>IF(NCF&lt;0, MAX(0, Balance/BurnRate), "Safe"). "Exhausted" when balance≤0.</t>
  </si>
  <si>
    <t>Runway Alert</t>
  </si>
  <si>
    <t>⚠ LOW when runway &lt; threshold (Assumptions B41)</t>
  </si>
  <si>
    <t>Breakeven Revenue</t>
  </si>
  <si>
    <t>(Outflow − Var Costs − Tax) / (1 − Var_Pct). Pre-tax breakeven: fixed+semi-fixed costs only. Tax excluded from numerator (circular: profit needed to calculate tax). Ref B20.</t>
  </si>
  <si>
    <t>Date</t>
  </si>
  <si>
    <t>Category</t>
  </si>
  <si>
    <t>Sub-category</t>
  </si>
  <si>
    <t>Scenario_Name</t>
  </si>
  <si>
    <t>Month_Num</t>
  </si>
  <si>
    <t>Date_Full</t>
  </si>
  <si>
    <t>Sign</t>
  </si>
  <si>
    <t>2025-01</t>
  </si>
  <si>
    <t>Inflow</t>
  </si>
  <si>
    <t>Total Inflow</t>
  </si>
  <si>
    <t>2025-01-01</t>
  </si>
  <si>
    <t>2025-02</t>
  </si>
  <si>
    <t>2025-02-01</t>
  </si>
  <si>
    <t>2025-03</t>
  </si>
  <si>
    <t>2025-03-01</t>
  </si>
  <si>
    <t>2025-04</t>
  </si>
  <si>
    <t>2025-04-01</t>
  </si>
  <si>
    <t>2025-05</t>
  </si>
  <si>
    <t>2025-05-01</t>
  </si>
  <si>
    <t>2025-06</t>
  </si>
  <si>
    <t>2025-06-01</t>
  </si>
  <si>
    <t>2025-07</t>
  </si>
  <si>
    <t>2025-07-01</t>
  </si>
  <si>
    <t>2025-08</t>
  </si>
  <si>
    <t>2025-08-01</t>
  </si>
  <si>
    <t>2025-09</t>
  </si>
  <si>
    <t>2025-09-01</t>
  </si>
  <si>
    <t>2025-10</t>
  </si>
  <si>
    <t>2025-10-01</t>
  </si>
  <si>
    <t>2025-11</t>
  </si>
  <si>
    <t>2025-11-01</t>
  </si>
  <si>
    <t>2025-12</t>
  </si>
  <si>
    <t>2025-12-01</t>
  </si>
  <si>
    <t>2026-01</t>
  </si>
  <si>
    <t>2026-01-01</t>
  </si>
  <si>
    <t>2026-02</t>
  </si>
  <si>
    <t>2026-02-01</t>
  </si>
  <si>
    <t>2026-03</t>
  </si>
  <si>
    <t>2026-03-01</t>
  </si>
  <si>
    <t>2026-04</t>
  </si>
  <si>
    <t>2026-04-01</t>
  </si>
  <si>
    <t>2026-05</t>
  </si>
  <si>
    <t>2026-05-01</t>
  </si>
  <si>
    <t>2026-06</t>
  </si>
  <si>
    <t>2026-06-01</t>
  </si>
  <si>
    <t>2026-07</t>
  </si>
  <si>
    <t>2026-07-01</t>
  </si>
  <si>
    <t>2026-08</t>
  </si>
  <si>
    <t>2026-08-01</t>
  </si>
  <si>
    <t>2026-09</t>
  </si>
  <si>
    <t>2026-09-01</t>
  </si>
  <si>
    <t>2026-10</t>
  </si>
  <si>
    <t>2026-10-01</t>
  </si>
  <si>
    <t>2026-11</t>
  </si>
  <si>
    <t>2026-11-01</t>
  </si>
  <si>
    <t>2026-12</t>
  </si>
  <si>
    <t>2026-12-01</t>
  </si>
  <si>
    <t>Outflow</t>
  </si>
  <si>
    <t>Total Outflow</t>
  </si>
  <si>
    <t>Net</t>
  </si>
  <si>
    <t>Net Cash Flow</t>
  </si>
  <si>
    <t>Balance</t>
  </si>
  <si>
    <t>Closing Balance</t>
  </si>
  <si>
    <t>Payroll</t>
  </si>
  <si>
    <t>MRR</t>
  </si>
  <si>
    <t>New MRR Added</t>
  </si>
  <si>
    <t>ℹ️  Connect to Power BI via 'Get Data → Excel Workbook'. Use [Date] as axis, [Category]/[Sub-category] as legend, [Value] as measure. Scenario_Name column allows multi-scenario comparison.</t>
  </si>
  <si>
    <t xml:space="preserve">  CRISIS EVENT TRIGGERS</t>
  </si>
  <si>
    <t xml:space="preserve"> WORKING CAPITAL</t>
  </si>
  <si>
    <t>MACRO</t>
  </si>
  <si>
    <t>COST DRIVERS</t>
  </si>
  <si>
    <t xml:space="preserve"> REVENUE DRIVERS</t>
  </si>
  <si>
    <t xml:space="preserve">STATUS (1- yes) </t>
  </si>
  <si>
    <t xml:space="preserve">  KPIs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</si>
</sst>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\(0.0%\);\-"/>
    <numFmt numFmtId="165" formatCode="\$#,##0;&quot;($&quot;#,##0\);\-"/>
    <numFmt numFmtId="166" formatCode="#,##0;\(#,##0\);\-"/>
    <numFmt numFmtId="167" formatCode="#,##0.0;\(#,##0.0\);\-"/>
    <numFmt numFmtId="168" formatCode="\$#,##0;[Red]&quot;($&quot;#,##0\);\-"/>
  </numFmts>
  <fonts count="23" x14ac:knownFonts="1">
    <font>
      <sz val="11"/>
      <color theme="1"/>
      <name val="Calibri"/>
      <family val="2"/>
      <charset val="1"/>
    </font>
    <font>
      <b/>
      <sz val="18"/>
      <color rgb="FFE8C97A"/>
      <name val="Calibri"/>
      <charset val="1"/>
    </font>
    <font>
      <i/>
      <sz val="9"/>
      <color rgb="FF7A9BBE"/>
      <name val="Calibri"/>
      <charset val="1"/>
    </font>
    <font>
      <b/>
      <sz val="11"/>
      <color rgb="FFE8C97A"/>
      <name val="Calibri"/>
      <charset val="1"/>
    </font>
    <font>
      <b/>
      <sz val="8"/>
      <color rgb="FF7A9BBE"/>
      <name val="Calibri"/>
      <charset val="1"/>
    </font>
    <font>
      <sz val="9"/>
      <color rgb="FF7A9BBE"/>
      <name val="Calibri"/>
      <charset val="1"/>
    </font>
    <font>
      <sz val="10"/>
      <color rgb="FFB8C9DC"/>
      <name val="Calibri"/>
      <charset val="1"/>
    </font>
    <font>
      <b/>
      <sz val="18"/>
      <color rgb="FFFFFFFF"/>
      <name val="Calibri"/>
      <charset val="1"/>
    </font>
    <font>
      <b/>
      <sz val="10"/>
      <color rgb="FFFFFFFF"/>
      <name val="Calibri"/>
      <charset val="1"/>
    </font>
    <font>
      <b/>
      <sz val="12"/>
      <color rgb="FFE8C97A"/>
      <name val="Calibri"/>
      <charset val="1"/>
    </font>
    <font>
      <sz val="10"/>
      <color rgb="FF7A9BBE"/>
      <name val="Calibri"/>
      <charset val="1"/>
    </font>
    <font>
      <b/>
      <sz val="10"/>
      <color rgb="FFB8C9DC"/>
      <name val="Calibri"/>
      <charset val="1"/>
    </font>
    <font>
      <b/>
      <sz val="20"/>
      <color rgb="FFE8C97A"/>
      <name val="Calibri"/>
      <charset val="1"/>
    </font>
    <font>
      <b/>
      <sz val="16"/>
      <color rgb="FFE8C97A"/>
      <name val="Calibri"/>
      <charset val="1"/>
    </font>
    <font>
      <i/>
      <sz val="8"/>
      <color rgb="FF7A9BBE"/>
      <name val="Calibri"/>
      <charset val="1"/>
    </font>
    <font>
      <i/>
      <sz val="9"/>
      <color rgb="FFC9A84C"/>
      <name val="Calibri"/>
      <charset val="1"/>
    </font>
    <font>
      <b/>
      <sz val="10"/>
      <color rgb="FFE8C97A"/>
      <name val="Calibri"/>
      <charset val="1"/>
    </font>
    <font>
      <sz val="9"/>
      <color rgb="FF00A86B"/>
      <name val="Calibri"/>
      <charset val="1"/>
    </font>
    <font>
      <sz val="9"/>
      <color rgb="FFCC4455"/>
      <name val="Calibri"/>
      <charset val="1"/>
    </font>
    <font>
      <b/>
      <sz val="9"/>
      <color rgb="FFE8374A"/>
      <name val="Calibri"/>
      <charset val="1"/>
    </font>
    <font>
      <b/>
      <sz val="9"/>
      <color rgb="FFFFFFFF"/>
      <name val="Calibri"/>
      <charset val="1"/>
    </font>
    <font>
      <sz val="9"/>
      <color rgb="FFB8C9DC"/>
      <name val="Calibri"/>
      <charset val="1"/>
    </font>
    <font>
      <b/>
      <sz val="9"/>
      <color rgb="FFB8C9DC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0A1628"/>
        <bgColor rgb="FF0F172A"/>
      </patternFill>
    </fill>
    <fill>
      <patternFill patternType="solid">
        <fgColor rgb="FF0F2040"/>
        <bgColor rgb="FF0D2038"/>
      </patternFill>
    </fill>
    <fill>
      <patternFill patternType="solid">
        <fgColor rgb="FF162B4A"/>
        <bgColor rgb="FF112540"/>
      </patternFill>
    </fill>
    <fill>
      <patternFill patternType="solid">
        <fgColor rgb="FF3D2E0A"/>
        <bgColor rgb="FF1A2A0A"/>
      </patternFill>
    </fill>
    <fill>
      <patternFill patternType="solid">
        <fgColor rgb="FFC9A84C"/>
        <bgColor rgb="FFF59E0B"/>
      </patternFill>
    </fill>
    <fill>
      <patternFill patternType="solid">
        <fgColor rgb="FF1A2A0A"/>
        <bgColor rgb="FF0A2010"/>
      </patternFill>
    </fill>
    <fill>
      <patternFill patternType="solid">
        <fgColor rgb="FF112540"/>
        <bgColor rgb="FF0F2040"/>
      </patternFill>
    </fill>
    <fill>
      <patternFill patternType="solid">
        <fgColor rgb="FF0D2038"/>
        <bgColor rgb="FF0F2040"/>
      </patternFill>
    </fill>
    <fill>
      <patternFill patternType="solid">
        <fgColor rgb="FF200F28"/>
        <bgColor rgb="FF1A0D20"/>
      </patternFill>
    </fill>
    <fill>
      <patternFill patternType="solid">
        <fgColor rgb="FF1A0D20"/>
        <bgColor rgb="FF200F28"/>
      </patternFill>
    </fill>
    <fill>
      <patternFill patternType="solid">
        <fgColor rgb="FF162032"/>
        <bgColor rgb="FF0D2038"/>
      </patternFill>
    </fill>
    <fill>
      <patternFill patternType="solid">
        <fgColor rgb="FF0A2010"/>
        <bgColor rgb="FF052B1A"/>
      </patternFill>
    </fill>
    <fill>
      <patternFill patternType="solid">
        <fgColor rgb="FF0F172A"/>
        <bgColor rgb="FF0A1628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/>
      <right/>
      <top/>
      <bottom style="thin">
        <color rgb="FF1E3A5F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medium">
        <color rgb="FFE8374A"/>
      </left>
      <right/>
      <top/>
      <bottom/>
      <diagonal/>
    </border>
    <border>
      <left style="medium">
        <color rgb="FF1E3A5F"/>
      </left>
      <right/>
      <top/>
      <bottom/>
      <diagonal/>
    </border>
    <border>
      <left style="thin">
        <color rgb="FF1E3A5F"/>
      </left>
      <right/>
      <top style="thin">
        <color rgb="FF1E3A5F"/>
      </top>
      <bottom style="thin">
        <color rgb="FF1E3A5F"/>
      </bottom>
      <diagonal/>
    </border>
    <border>
      <left/>
      <right/>
      <top style="thin">
        <color rgb="FF2A4A1A"/>
      </top>
      <bottom style="thin">
        <color rgb="FFC9A84C"/>
      </bottom>
      <diagonal/>
    </border>
    <border>
      <left/>
      <right/>
      <top/>
      <bottom style="thin">
        <color rgb="FFC9A84C"/>
      </bottom>
      <diagonal/>
    </border>
    <border>
      <left style="medium">
        <color rgb="FF00A86B"/>
      </left>
      <right/>
      <top/>
      <bottom/>
      <diagonal/>
    </border>
    <border>
      <left style="medium">
        <color rgb="FFC9A84C"/>
      </left>
      <right/>
      <top/>
      <bottom/>
      <diagonal/>
    </border>
    <border>
      <left/>
      <right/>
      <top style="thin">
        <color rgb="FF1E3A5F"/>
      </top>
      <bottom style="medium">
        <color rgb="FFC9A84C"/>
      </bottom>
      <diagonal/>
    </border>
    <border>
      <left/>
      <right/>
      <top style="medium">
        <color rgb="FFC9A84C"/>
      </top>
      <bottom style="thin">
        <color rgb="FF1E3A5F"/>
      </bottom>
      <diagonal/>
    </border>
    <border>
      <left/>
      <right style="thin">
        <color rgb="FF1E3A5F"/>
      </right>
      <top style="medium">
        <color rgb="FFC9A84C"/>
      </top>
      <bottom style="thin">
        <color rgb="FF1E3A5F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6" fillId="3" borderId="2" xfId="0" applyFont="1" applyFill="1" applyBorder="1" applyAlignment="1">
      <alignment horizontal="left" vertical="center" indent="1"/>
    </xf>
    <xf numFmtId="0" fontId="16" fillId="3" borderId="9" xfId="0" applyFont="1" applyFill="1" applyBorder="1" applyAlignment="1">
      <alignment horizontal="left" vertical="center" indent="1"/>
    </xf>
    <xf numFmtId="0" fontId="15" fillId="7" borderId="8" xfId="0" applyFont="1" applyFill="1" applyBorder="1" applyAlignment="1">
      <alignment horizontal="left" vertical="center" indent="2"/>
    </xf>
    <xf numFmtId="0" fontId="14" fillId="4" borderId="2" xfId="0" applyFont="1" applyFill="1" applyBorder="1" applyAlignment="1">
      <alignment horizontal="left" vertical="center" indent="1"/>
    </xf>
    <xf numFmtId="165" fontId="13" fillId="3" borderId="7" xfId="0" applyNumberFormat="1" applyFont="1" applyFill="1" applyBorder="1" applyAlignment="1">
      <alignment horizontal="right" vertical="center"/>
    </xf>
    <xf numFmtId="167" fontId="13" fillId="3" borderId="7" xfId="0" applyNumberFormat="1" applyFont="1" applyFill="1" applyBorder="1" applyAlignment="1">
      <alignment horizontal="right" vertical="center"/>
    </xf>
    <xf numFmtId="168" fontId="13" fillId="3" borderId="7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indent="1"/>
    </xf>
    <xf numFmtId="0" fontId="0" fillId="0" borderId="0" xfId="0" applyAlignment="1"/>
    <xf numFmtId="0" fontId="4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indent="1"/>
    </xf>
    <xf numFmtId="164" fontId="3" fillId="4" borderId="3" xfId="0" applyNumberFormat="1" applyFont="1" applyFill="1" applyBorder="1" applyAlignment="1" applyProtection="1">
      <alignment horizontal="right" vertical="center"/>
      <protection locked="0"/>
    </xf>
    <xf numFmtId="0" fontId="2" fillId="4" borderId="4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indent="1"/>
    </xf>
    <xf numFmtId="165" fontId="3" fillId="4" borderId="3" xfId="0" applyNumberFormat="1" applyFont="1" applyFill="1" applyBorder="1" applyAlignment="1" applyProtection="1">
      <alignment horizontal="right" vertical="center"/>
      <protection locked="0"/>
    </xf>
    <xf numFmtId="166" fontId="3" fillId="4" borderId="3" xfId="0" applyNumberFormat="1" applyFont="1" applyFill="1" applyBorder="1" applyAlignment="1" applyProtection="1">
      <alignment horizontal="right" vertical="center"/>
      <protection locked="0"/>
    </xf>
    <xf numFmtId="49" fontId="6" fillId="4" borderId="4" xfId="0" applyNumberFormat="1" applyFont="1" applyFill="1" applyBorder="1" applyAlignment="1">
      <alignment horizontal="left" vertical="center" indent="1"/>
    </xf>
    <xf numFmtId="49" fontId="2" fillId="4" borderId="4" xfId="0" applyNumberFormat="1" applyFont="1" applyFill="1" applyBorder="1" applyAlignment="1">
      <alignment horizontal="left" vertical="center" wrapText="1" indent="1"/>
    </xf>
    <xf numFmtId="167" fontId="3" fillId="4" borderId="3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 applyAlignment="1"/>
    <xf numFmtId="0" fontId="0" fillId="3" borderId="0" xfId="0" applyFill="1" applyAlignment="1"/>
    <xf numFmtId="0" fontId="4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 indent="2"/>
    </xf>
    <xf numFmtId="4" fontId="9" fillId="4" borderId="3" xfId="0" applyNumberFormat="1" applyFont="1" applyFill="1" applyBorder="1" applyAlignment="1" applyProtection="1">
      <alignment horizontal="right" vertical="center"/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left" vertical="center" indent="2"/>
    </xf>
    <xf numFmtId="0" fontId="9" fillId="4" borderId="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>
      <alignment horizontal="left" vertical="center" indent="2"/>
    </xf>
    <xf numFmtId="0" fontId="0" fillId="6" borderId="0" xfId="0" applyFill="1" applyAlignment="1"/>
    <xf numFmtId="0" fontId="4" fillId="2" borderId="9" xfId="0" applyFont="1" applyFill="1" applyBorder="1" applyAlignment="1">
      <alignment horizontal="left" vertical="center" indent="1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6" fillId="8" borderId="10" xfId="0" applyFont="1" applyFill="1" applyBorder="1" applyAlignment="1">
      <alignment horizontal="left" vertical="center" indent="2"/>
    </xf>
    <xf numFmtId="0" fontId="14" fillId="8" borderId="4" xfId="0" applyFont="1" applyFill="1" applyBorder="1" applyAlignment="1">
      <alignment horizontal="center" vertical="center"/>
    </xf>
    <xf numFmtId="168" fontId="17" fillId="8" borderId="4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left" vertical="center" wrapText="1" indent="1"/>
    </xf>
    <xf numFmtId="0" fontId="6" fillId="9" borderId="10" xfId="0" applyFont="1" applyFill="1" applyBorder="1" applyAlignment="1">
      <alignment horizontal="left" vertical="center" indent="2"/>
    </xf>
    <xf numFmtId="0" fontId="14" fillId="9" borderId="4" xfId="0" applyFont="1" applyFill="1" applyBorder="1" applyAlignment="1">
      <alignment horizontal="center" vertical="center"/>
    </xf>
    <xf numFmtId="168" fontId="17" fillId="9" borderId="4" xfId="0" applyNumberFormat="1" applyFont="1" applyFill="1" applyBorder="1" applyAlignment="1">
      <alignment horizontal="right" vertical="center"/>
    </xf>
    <xf numFmtId="0" fontId="14" fillId="9" borderId="0" xfId="0" applyFont="1" applyFill="1" applyAlignment="1">
      <alignment horizontal="left" vertical="center" wrapText="1" indent="1"/>
    </xf>
    <xf numFmtId="0" fontId="16" fillId="3" borderId="2" xfId="0" applyFont="1" applyFill="1" applyBorder="1" applyAlignment="1">
      <alignment horizontal="left" vertical="center" indent="1"/>
    </xf>
    <xf numFmtId="0" fontId="6" fillId="10" borderId="5" xfId="0" applyFont="1" applyFill="1" applyBorder="1" applyAlignment="1">
      <alignment horizontal="left" vertical="center" indent="2"/>
    </xf>
    <xf numFmtId="0" fontId="14" fillId="10" borderId="4" xfId="0" applyFont="1" applyFill="1" applyBorder="1" applyAlignment="1">
      <alignment horizontal="center" vertical="center"/>
    </xf>
    <xf numFmtId="168" fontId="18" fillId="10" borderId="4" xfId="0" applyNumberFormat="1" applyFont="1" applyFill="1" applyBorder="1" applyAlignment="1">
      <alignment horizontal="right" vertical="center"/>
    </xf>
    <xf numFmtId="0" fontId="14" fillId="10" borderId="0" xfId="0" applyFont="1" applyFill="1" applyAlignment="1">
      <alignment horizontal="left" vertical="center" wrapText="1" indent="1"/>
    </xf>
    <xf numFmtId="0" fontId="6" fillId="11" borderId="5" xfId="0" applyFont="1" applyFill="1" applyBorder="1" applyAlignment="1">
      <alignment horizontal="left" vertical="center" indent="2"/>
    </xf>
    <xf numFmtId="0" fontId="14" fillId="11" borderId="4" xfId="0" applyFont="1" applyFill="1" applyBorder="1" applyAlignment="1">
      <alignment horizontal="center" vertical="center"/>
    </xf>
    <xf numFmtId="168" fontId="18" fillId="11" borderId="4" xfId="0" applyNumberFormat="1" applyFont="1" applyFill="1" applyBorder="1" applyAlignment="1">
      <alignment horizontal="right" vertical="center"/>
    </xf>
    <xf numFmtId="0" fontId="14" fillId="11" borderId="0" xfId="0" applyFont="1" applyFill="1" applyAlignment="1">
      <alignment horizontal="left" vertical="center" wrapText="1" indent="1"/>
    </xf>
    <xf numFmtId="0" fontId="8" fillId="12" borderId="5" xfId="0" applyFont="1" applyFill="1" applyBorder="1" applyAlignment="1">
      <alignment horizontal="left" vertical="center" indent="2"/>
    </xf>
    <xf numFmtId="0" fontId="14" fillId="12" borderId="4" xfId="0" applyFont="1" applyFill="1" applyBorder="1" applyAlignment="1">
      <alignment horizontal="center" vertical="center"/>
    </xf>
    <xf numFmtId="168" fontId="19" fillId="12" borderId="4" xfId="0" applyNumberFormat="1" applyFont="1" applyFill="1" applyBorder="1" applyAlignment="1">
      <alignment horizontal="right" vertical="center"/>
    </xf>
    <xf numFmtId="0" fontId="14" fillId="12" borderId="0" xfId="0" applyFont="1" applyFill="1" applyAlignment="1">
      <alignment horizontal="left" vertical="center" wrapText="1" indent="1"/>
    </xf>
    <xf numFmtId="0" fontId="0" fillId="3" borderId="2" xfId="0" applyFill="1" applyBorder="1" applyAlignment="1"/>
    <xf numFmtId="0" fontId="8" fillId="13" borderId="11" xfId="0" applyFont="1" applyFill="1" applyBorder="1" applyAlignment="1">
      <alignment horizontal="left" vertical="center" indent="2"/>
    </xf>
    <xf numFmtId="0" fontId="14" fillId="13" borderId="4" xfId="0" applyFont="1" applyFill="1" applyBorder="1" applyAlignment="1">
      <alignment horizontal="center" vertical="center"/>
    </xf>
    <xf numFmtId="165" fontId="20" fillId="13" borderId="4" xfId="0" applyNumberFormat="1" applyFont="1" applyFill="1" applyBorder="1" applyAlignment="1">
      <alignment horizontal="right" vertical="center"/>
    </xf>
    <xf numFmtId="0" fontId="14" fillId="13" borderId="0" xfId="0" applyFont="1" applyFill="1" applyAlignment="1">
      <alignment horizontal="left" vertical="center" wrapText="1" indent="1"/>
    </xf>
    <xf numFmtId="168" fontId="20" fillId="13" borderId="4" xfId="0" applyNumberFormat="1" applyFont="1" applyFill="1" applyBorder="1" applyAlignment="1">
      <alignment horizontal="right" vertical="center"/>
    </xf>
    <xf numFmtId="0" fontId="6" fillId="14" borderId="6" xfId="0" applyFont="1" applyFill="1" applyBorder="1" applyAlignment="1">
      <alignment horizontal="left" vertical="center" indent="2"/>
    </xf>
    <xf numFmtId="0" fontId="14" fillId="14" borderId="4" xfId="0" applyFont="1" applyFill="1" applyBorder="1" applyAlignment="1">
      <alignment horizontal="center" vertical="center"/>
    </xf>
    <xf numFmtId="168" fontId="21" fillId="14" borderId="4" xfId="0" applyNumberFormat="1" applyFont="1" applyFill="1" applyBorder="1" applyAlignment="1">
      <alignment horizontal="right" vertical="center"/>
    </xf>
    <xf numFmtId="0" fontId="14" fillId="14" borderId="0" xfId="0" applyFont="1" applyFill="1" applyAlignment="1">
      <alignment horizontal="left" vertical="center" wrapText="1" indent="1"/>
    </xf>
    <xf numFmtId="0" fontId="6" fillId="12" borderId="6" xfId="0" applyFont="1" applyFill="1" applyBorder="1" applyAlignment="1">
      <alignment horizontal="left" vertical="center" indent="2"/>
    </xf>
    <xf numFmtId="49" fontId="21" fillId="12" borderId="4" xfId="0" applyNumberFormat="1" applyFont="1" applyFill="1" applyBorder="1" applyAlignment="1">
      <alignment horizontal="right" vertical="center"/>
    </xf>
    <xf numFmtId="49" fontId="21" fillId="14" borderId="4" xfId="0" applyNumberFormat="1" applyFont="1" applyFill="1" applyBorder="1" applyAlignment="1">
      <alignment horizontal="right" vertical="center"/>
    </xf>
    <xf numFmtId="165" fontId="21" fillId="3" borderId="4" xfId="0" applyNumberFormat="1" applyFont="1" applyFill="1" applyBorder="1" applyAlignment="1">
      <alignment horizontal="right" vertical="center"/>
    </xf>
    <xf numFmtId="165" fontId="21" fillId="4" borderId="4" xfId="0" applyNumberFormat="1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left" vertical="center" indent="2"/>
    </xf>
    <xf numFmtId="0" fontId="14" fillId="2" borderId="4" xfId="0" applyFont="1" applyFill="1" applyBorder="1" applyAlignment="1">
      <alignment horizontal="center" vertical="center"/>
    </xf>
    <xf numFmtId="168" fontId="21" fillId="2" borderId="4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left" vertical="center" wrapText="1" indent="1"/>
    </xf>
    <xf numFmtId="0" fontId="22" fillId="4" borderId="9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center" vertical="center"/>
    </xf>
    <xf numFmtId="1" fontId="21" fillId="2" borderId="4" xfId="0" applyNumberFormat="1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center" vertical="center"/>
    </xf>
    <xf numFmtId="168" fontId="21" fillId="4" borderId="4" xfId="0" applyNumberFormat="1" applyFont="1" applyFill="1" applyBorder="1" applyAlignment="1">
      <alignment horizontal="right" vertical="center"/>
    </xf>
    <xf numFmtId="1" fontId="21" fillId="4" borderId="4" xfId="0" applyNumberFormat="1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b/>
        <sz val="9"/>
        <color rgb="FFE8374A"/>
        <name val="Calibri"/>
        <charset val="1"/>
      </font>
      <fill>
        <patternFill>
          <bgColor rgb="FF2D0A0F"/>
        </patternFill>
      </fill>
    </dxf>
    <dxf>
      <font>
        <b/>
        <sz val="9"/>
        <color rgb="FF00A86B"/>
        <name val="Calibri"/>
        <charset val="1"/>
      </font>
      <fill>
        <patternFill>
          <bgColor rgb="FF052B1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D2038"/>
      <rgbColor rgb="FFFFFF00"/>
      <rgbColor rgb="FFFF00FF"/>
      <rgbColor rgb="FF00FFFF"/>
      <rgbColor rgb="FF200F28"/>
      <rgbColor rgb="FF2A4A1A"/>
      <rgbColor rgb="FF0F2040"/>
      <rgbColor rgb="FF808000"/>
      <rgbColor rgb="FF162032"/>
      <rgbColor rgb="FF008080"/>
      <rgbColor rgb="FFB8C9DC"/>
      <rgbColor rgb="FF808080"/>
      <rgbColor rgb="FF9999FF"/>
      <rgbColor rgb="FFCC4455"/>
      <rgbColor rgb="FFFFFFCC"/>
      <rgbColor rgb="FFCCFFFF"/>
      <rgbColor rgb="FF2D0A0F"/>
      <rgbColor rgb="FFFF8080"/>
      <rgbColor rgb="FF0A2010"/>
      <rgbColor rgb="FFCCCCFF"/>
      <rgbColor rgb="FF0A1628"/>
      <rgbColor rgb="FFFF00FF"/>
      <rgbColor rgb="FFFFFF00"/>
      <rgbColor rgb="FF00FFFF"/>
      <rgbColor rgb="FF0F172A"/>
      <rgbColor rgb="FF1A0D2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97A"/>
      <rgbColor rgb="FF3366FF"/>
      <rgbColor rgb="FF33CCCC"/>
      <rgbColor rgb="FFC9A84C"/>
      <rgbColor rgb="FFFFCC00"/>
      <rgbColor rgb="FFF59E0B"/>
      <rgbColor rgb="FFFF6600"/>
      <rgbColor rgb="FF666699"/>
      <rgbColor rgb="FF7A9BBE"/>
      <rgbColor rgb="FF162B4A"/>
      <rgbColor rgb="FF00A86B"/>
      <rgbColor rgb="FF052B1A"/>
      <rgbColor rgb="FF3D2E0A"/>
      <rgbColor rgb="FF1A2A0A"/>
      <rgbColor rgb="FFE8374A"/>
      <rgbColor rgb="FF112540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showGridLines="0" zoomScaleNormal="100" workbookViewId="0">
      <selection activeCell="I9" sqref="I9"/>
    </sheetView>
  </sheetViews>
  <sheetFormatPr defaultColWidth="8.7109375" defaultRowHeight="15" x14ac:dyDescent="0.25"/>
  <cols>
    <col min="1" max="1" width="34" style="9" customWidth="1"/>
    <col min="2" max="2" width="18" style="9" customWidth="1"/>
    <col min="3" max="3" width="46" style="9" customWidth="1"/>
  </cols>
  <sheetData>
    <row r="1" spans="1:3" ht="43.5" customHeight="1" thickBot="1" x14ac:dyDescent="0.3">
      <c r="A1" s="88" t="s">
        <v>0</v>
      </c>
      <c r="B1" s="88"/>
      <c r="C1" s="88"/>
    </row>
    <row r="2" spans="1:3" ht="19.5" customHeight="1" x14ac:dyDescent="0.25">
      <c r="A2" s="91" t="s">
        <v>1</v>
      </c>
      <c r="B2" s="91"/>
      <c r="C2" s="92"/>
    </row>
    <row r="3" spans="1:3" ht="30" customHeight="1" thickBot="1" x14ac:dyDescent="0.3">
      <c r="A3" s="90" t="s">
        <v>243</v>
      </c>
      <c r="B3" s="90"/>
      <c r="C3" s="90"/>
    </row>
    <row r="4" spans="1:3" ht="18" customHeight="1" x14ac:dyDescent="0.25">
      <c r="A4" s="10" t="s">
        <v>2</v>
      </c>
      <c r="B4" s="11" t="s">
        <v>3</v>
      </c>
      <c r="C4" s="12" t="s">
        <v>4</v>
      </c>
    </row>
    <row r="5" spans="1:3" ht="19.5" customHeight="1" x14ac:dyDescent="0.25">
      <c r="A5" s="14" t="s">
        <v>5</v>
      </c>
      <c r="B5" s="15">
        <v>0.05</v>
      </c>
      <c r="C5" s="16" t="s">
        <v>6</v>
      </c>
    </row>
    <row r="6" spans="1:3" ht="19.5" customHeight="1" x14ac:dyDescent="0.25">
      <c r="A6" s="18" t="s">
        <v>7</v>
      </c>
      <c r="B6" s="19">
        <v>2500</v>
      </c>
      <c r="C6" s="12" t="s">
        <v>8</v>
      </c>
    </row>
    <row r="7" spans="1:3" ht="19.5" customHeight="1" x14ac:dyDescent="0.25">
      <c r="A7" s="14" t="s">
        <v>9</v>
      </c>
      <c r="B7" s="20">
        <v>100</v>
      </c>
      <c r="C7" s="16" t="s">
        <v>10</v>
      </c>
    </row>
    <row r="8" spans="1:3" ht="19.5" customHeight="1" x14ac:dyDescent="0.25">
      <c r="A8" s="18" t="s">
        <v>11</v>
      </c>
      <c r="B8" s="15">
        <v>0.05</v>
      </c>
      <c r="C8" s="12" t="s">
        <v>12</v>
      </c>
    </row>
    <row r="9" spans="1:3" ht="19.5" customHeight="1" x14ac:dyDescent="0.25">
      <c r="A9" s="14" t="s">
        <v>13</v>
      </c>
      <c r="B9" s="19">
        <v>120000</v>
      </c>
      <c r="C9" s="16" t="s">
        <v>14</v>
      </c>
    </row>
    <row r="10" spans="1:3" ht="19.5" customHeight="1" x14ac:dyDescent="0.25">
      <c r="A10" s="18" t="s">
        <v>15</v>
      </c>
      <c r="B10" s="15">
        <v>0.03</v>
      </c>
      <c r="C10" s="12" t="s">
        <v>16</v>
      </c>
    </row>
    <row r="11" spans="1:3" ht="19.5" customHeight="1" x14ac:dyDescent="0.25">
      <c r="A11" s="14"/>
      <c r="B11" s="11"/>
      <c r="C11" s="16"/>
    </row>
    <row r="12" spans="1:3" ht="30" customHeight="1" thickBot="1" x14ac:dyDescent="0.3">
      <c r="A12" s="89" t="s">
        <v>242</v>
      </c>
      <c r="B12" s="89"/>
      <c r="C12" s="89"/>
    </row>
    <row r="13" spans="1:3" ht="18" customHeight="1" x14ac:dyDescent="0.25">
      <c r="A13" s="10" t="s">
        <v>2</v>
      </c>
      <c r="B13" s="11" t="s">
        <v>3</v>
      </c>
      <c r="C13" s="16" t="s">
        <v>4</v>
      </c>
    </row>
    <row r="14" spans="1:3" ht="19.5" customHeight="1" x14ac:dyDescent="0.25">
      <c r="A14" s="18" t="s">
        <v>17</v>
      </c>
      <c r="B14" s="19">
        <v>8000</v>
      </c>
      <c r="C14" s="12" t="s">
        <v>18</v>
      </c>
    </row>
    <row r="15" spans="1:3" ht="19.5" customHeight="1" x14ac:dyDescent="0.25">
      <c r="A15" s="14" t="s">
        <v>19</v>
      </c>
      <c r="B15" s="19">
        <v>5000</v>
      </c>
      <c r="C15" s="16" t="s">
        <v>20</v>
      </c>
    </row>
    <row r="16" spans="1:3" ht="19.5" customHeight="1" x14ac:dyDescent="0.25">
      <c r="A16" s="18" t="s">
        <v>21</v>
      </c>
      <c r="B16" s="19">
        <v>65000</v>
      </c>
      <c r="C16" s="12" t="s">
        <v>22</v>
      </c>
    </row>
    <row r="17" spans="1:3" ht="19.5" customHeight="1" x14ac:dyDescent="0.25">
      <c r="A17" s="14" t="s">
        <v>23</v>
      </c>
      <c r="B17" s="19">
        <v>10000</v>
      </c>
      <c r="C17" s="16" t="s">
        <v>24</v>
      </c>
    </row>
    <row r="18" spans="1:3" ht="19.5" customHeight="1" x14ac:dyDescent="0.25">
      <c r="A18" s="18" t="s">
        <v>25</v>
      </c>
      <c r="B18" s="19">
        <v>7000</v>
      </c>
      <c r="C18" s="12" t="s">
        <v>26</v>
      </c>
    </row>
    <row r="19" spans="1:3" ht="19.5" customHeight="1" x14ac:dyDescent="0.25">
      <c r="A19" s="14" t="s">
        <v>27</v>
      </c>
      <c r="B19" s="19">
        <v>13000</v>
      </c>
      <c r="C19" s="16" t="s">
        <v>28</v>
      </c>
    </row>
    <row r="20" spans="1:3" ht="19.5" customHeight="1" x14ac:dyDescent="0.25">
      <c r="A20" s="18" t="s">
        <v>29</v>
      </c>
      <c r="B20" s="15">
        <v>0.03</v>
      </c>
      <c r="C20" s="12" t="s">
        <v>30</v>
      </c>
    </row>
    <row r="21" spans="1:3" ht="19.5" customHeight="1" x14ac:dyDescent="0.25">
      <c r="A21" s="21" t="s">
        <v>31</v>
      </c>
      <c r="B21" s="15">
        <v>0.1</v>
      </c>
      <c r="C21" s="22" t="s">
        <v>32</v>
      </c>
    </row>
    <row r="22" spans="1:3" ht="30" customHeight="1" thickBot="1" x14ac:dyDescent="0.3">
      <c r="A22" s="89" t="s">
        <v>241</v>
      </c>
      <c r="B22" s="89"/>
      <c r="C22" s="89"/>
    </row>
    <row r="23" spans="1:3" ht="18" customHeight="1" x14ac:dyDescent="0.25">
      <c r="A23" s="10" t="s">
        <v>2</v>
      </c>
      <c r="B23" s="11" t="s">
        <v>3</v>
      </c>
      <c r="C23" s="16" t="s">
        <v>4</v>
      </c>
    </row>
    <row r="24" spans="1:3" ht="19.5" customHeight="1" x14ac:dyDescent="0.25">
      <c r="A24" s="18" t="s">
        <v>33</v>
      </c>
      <c r="B24" s="15">
        <v>0.03</v>
      </c>
      <c r="C24" s="12" t="s">
        <v>34</v>
      </c>
    </row>
    <row r="25" spans="1:3" ht="19.5" customHeight="1" x14ac:dyDescent="0.25">
      <c r="A25" s="14" t="s">
        <v>35</v>
      </c>
      <c r="B25" s="15">
        <v>0.2</v>
      </c>
      <c r="C25" s="16" t="s">
        <v>36</v>
      </c>
    </row>
    <row r="26" spans="1:3" ht="19.5" customHeight="1" x14ac:dyDescent="0.25">
      <c r="A26" s="18"/>
      <c r="B26" s="11"/>
      <c r="C26" s="12"/>
    </row>
    <row r="27" spans="1:3" ht="30" customHeight="1" thickBot="1" x14ac:dyDescent="0.3">
      <c r="A27" s="89" t="s">
        <v>240</v>
      </c>
      <c r="B27" s="89"/>
      <c r="C27" s="89"/>
    </row>
    <row r="28" spans="1:3" ht="18" customHeight="1" x14ac:dyDescent="0.25">
      <c r="A28" s="10" t="s">
        <v>2</v>
      </c>
      <c r="B28" s="11" t="s">
        <v>3</v>
      </c>
      <c r="C28" s="12" t="s">
        <v>4</v>
      </c>
    </row>
    <row r="29" spans="1:3" ht="19.5" customHeight="1" x14ac:dyDescent="0.25">
      <c r="A29" s="14" t="s">
        <v>37</v>
      </c>
      <c r="B29" s="20">
        <v>30</v>
      </c>
      <c r="C29" s="16" t="s">
        <v>38</v>
      </c>
    </row>
    <row r="30" spans="1:3" ht="19.5" customHeight="1" x14ac:dyDescent="0.25">
      <c r="A30" s="18" t="s">
        <v>39</v>
      </c>
      <c r="B30" s="23">
        <v>6</v>
      </c>
      <c r="C30" s="12" t="s">
        <v>40</v>
      </c>
    </row>
    <row r="31" spans="1:3" ht="19.5" customHeight="1" x14ac:dyDescent="0.25">
      <c r="A31" s="21" t="s">
        <v>41</v>
      </c>
      <c r="B31" s="15">
        <v>0.05</v>
      </c>
      <c r="C31" s="22" t="s">
        <v>42</v>
      </c>
    </row>
    <row r="32" spans="1:3" ht="30" customHeight="1" thickBot="1" x14ac:dyDescent="0.3">
      <c r="A32" s="89" t="s">
        <v>239</v>
      </c>
      <c r="B32" s="89"/>
      <c r="C32" s="89"/>
    </row>
    <row r="33" spans="1:3" ht="18" customHeight="1" x14ac:dyDescent="0.25">
      <c r="A33" s="10" t="s">
        <v>2</v>
      </c>
      <c r="B33" s="11" t="s">
        <v>3</v>
      </c>
      <c r="C33" s="16" t="s">
        <v>4</v>
      </c>
    </row>
    <row r="34" spans="1:3" ht="19.5" customHeight="1" x14ac:dyDescent="0.25">
      <c r="A34" s="18" t="s">
        <v>43</v>
      </c>
      <c r="B34" s="19">
        <v>500000</v>
      </c>
      <c r="C34" s="12" t="s">
        <v>44</v>
      </c>
    </row>
    <row r="35" spans="1:3" ht="19.5" customHeight="1" x14ac:dyDescent="0.25">
      <c r="A35" s="14" t="s">
        <v>45</v>
      </c>
      <c r="B35" s="20">
        <v>7</v>
      </c>
      <c r="C35" s="16" t="s">
        <v>46</v>
      </c>
    </row>
    <row r="36" spans="1:3" ht="19.5" customHeight="1" x14ac:dyDescent="0.25">
      <c r="A36" s="18" t="s">
        <v>47</v>
      </c>
      <c r="B36" s="15">
        <v>0.12</v>
      </c>
      <c r="C36" s="12" t="s">
        <v>48</v>
      </c>
    </row>
    <row r="37" spans="1:3" ht="19.5" customHeight="1" x14ac:dyDescent="0.25">
      <c r="A37" s="14" t="s">
        <v>49</v>
      </c>
      <c r="B37" s="20">
        <v>9</v>
      </c>
      <c r="C37" s="16" t="s">
        <v>50</v>
      </c>
    </row>
    <row r="38" spans="1:3" ht="19.5" customHeight="1" x14ac:dyDescent="0.25">
      <c r="A38" s="18" t="s">
        <v>51</v>
      </c>
      <c r="B38" s="23">
        <v>1.3</v>
      </c>
      <c r="C38" s="12" t="s">
        <v>52</v>
      </c>
    </row>
    <row r="39" spans="1:3" ht="19.5" customHeight="1" x14ac:dyDescent="0.25">
      <c r="A39" s="14" t="s">
        <v>53</v>
      </c>
      <c r="B39" s="20">
        <v>11</v>
      </c>
      <c r="C39" s="16" t="s">
        <v>54</v>
      </c>
    </row>
    <row r="40" spans="1:3" ht="19.5" customHeight="1" x14ac:dyDescent="0.25">
      <c r="A40" s="18" t="s">
        <v>55</v>
      </c>
      <c r="B40" s="23">
        <v>1.4</v>
      </c>
      <c r="C40" s="12" t="s">
        <v>56</v>
      </c>
    </row>
    <row r="41" spans="1:3" ht="19.5" customHeight="1" x14ac:dyDescent="0.25">
      <c r="A41" s="14" t="s">
        <v>57</v>
      </c>
      <c r="B41" s="20">
        <v>3</v>
      </c>
      <c r="C41" s="16" t="s">
        <v>58</v>
      </c>
    </row>
    <row r="42" spans="1:3" ht="19.5" customHeight="1" x14ac:dyDescent="0.25"/>
    <row r="43" spans="1:3" ht="19.5" customHeight="1" x14ac:dyDescent="0.25"/>
    <row r="44" spans="1:3" ht="19.5" customHeight="1" x14ac:dyDescent="0.25"/>
    <row r="45" spans="1:3" ht="19.5" customHeight="1" x14ac:dyDescent="0.25"/>
    <row r="46" spans="1:3" ht="19.5" customHeight="1" x14ac:dyDescent="0.25"/>
    <row r="47" spans="1:3" ht="19.5" customHeight="1" x14ac:dyDescent="0.25"/>
    <row r="48" spans="1:3" ht="19.5" customHeight="1" x14ac:dyDescent="0.25"/>
    <row r="49" ht="19.5" customHeight="1" x14ac:dyDescent="0.25"/>
  </sheetData>
  <sheetProtection algorithmName="SHA-512" hashValue="miA8Z21MRNE6BX7tMRrr/DHHcoH6MlkzXVXaZkNQrvPPKzPkF4is+EGyremRPxX7pyP6AgsGVe5jwjs9G1dHQA==" saltValue="5iwy4HwqtcqTGNuzvC23Sw==" spinCount="100000" sheet="1" formatCells="0" formatColumns="0" formatRows="0" insertColumns="0" insertRows="0" insertHyperlinks="0" deleteColumns="0" deleteRows="0" sort="0" autoFilter="0" pivotTables="0"/>
  <mergeCells count="7">
    <mergeCell ref="A1:C1"/>
    <mergeCell ref="A3:C3"/>
    <mergeCell ref="A2:C2"/>
    <mergeCell ref="A12:C12"/>
    <mergeCell ref="A22:C22"/>
    <mergeCell ref="A27:C27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tabSelected="1" zoomScaleNormal="100" workbookViewId="0">
      <selection activeCell="H17" sqref="H17"/>
    </sheetView>
  </sheetViews>
  <sheetFormatPr defaultColWidth="8.7109375" defaultRowHeight="15" x14ac:dyDescent="0.25"/>
  <cols>
    <col min="1" max="1" width="30" style="9" customWidth="1"/>
    <col min="2" max="2" width="16" style="9" customWidth="1"/>
    <col min="3" max="3" width="10" style="9" customWidth="1"/>
    <col min="4" max="4" width="14" style="9" customWidth="1"/>
    <col min="5" max="5" width="44" style="9" customWidth="1"/>
    <col min="6" max="6" width="14" style="9" customWidth="1"/>
  </cols>
  <sheetData>
    <row r="1" spans="1:6" ht="43.5" customHeight="1" x14ac:dyDescent="0.25">
      <c r="A1" s="93" t="s">
        <v>59</v>
      </c>
      <c r="B1" s="93"/>
      <c r="C1" s="93"/>
      <c r="D1" s="93"/>
      <c r="E1" s="93"/>
      <c r="F1" s="93"/>
    </row>
    <row r="2" spans="1:6" ht="7.5" customHeight="1" x14ac:dyDescent="0.25">
      <c r="A2" s="25"/>
      <c r="B2" s="25"/>
      <c r="C2" s="25"/>
      <c r="D2" s="25"/>
      <c r="E2" s="25"/>
      <c r="F2" s="25"/>
    </row>
    <row r="3" spans="1:6" ht="21.75" customHeight="1" x14ac:dyDescent="0.25">
      <c r="A3" s="26" t="s">
        <v>60</v>
      </c>
      <c r="B3" s="27" t="s">
        <v>61</v>
      </c>
      <c r="C3" s="27" t="s">
        <v>62</v>
      </c>
      <c r="D3" s="27" t="s">
        <v>244</v>
      </c>
      <c r="E3" s="27" t="s">
        <v>63</v>
      </c>
      <c r="F3" s="27" t="s">
        <v>64</v>
      </c>
    </row>
    <row r="4" spans="1:6" ht="24" customHeight="1" x14ac:dyDescent="0.25">
      <c r="A4" s="28" t="s">
        <v>65</v>
      </c>
      <c r="B4" s="29">
        <v>0.5</v>
      </c>
      <c r="C4" s="13" t="s">
        <v>66</v>
      </c>
      <c r="D4" s="30">
        <v>1</v>
      </c>
      <c r="E4" s="12" t="s">
        <v>67</v>
      </c>
      <c r="F4" s="31" t="s">
        <v>68</v>
      </c>
    </row>
    <row r="5" spans="1:6" ht="24" customHeight="1" x14ac:dyDescent="0.25">
      <c r="A5" s="32" t="s">
        <v>69</v>
      </c>
      <c r="B5" s="29">
        <v>0.2</v>
      </c>
      <c r="C5" s="17" t="s">
        <v>66</v>
      </c>
      <c r="D5" s="33">
        <v>0</v>
      </c>
      <c r="E5" s="16" t="s">
        <v>70</v>
      </c>
      <c r="F5" s="31" t="s">
        <v>68</v>
      </c>
    </row>
    <row r="6" spans="1:6" ht="24" customHeight="1" x14ac:dyDescent="0.25">
      <c r="A6" s="28" t="s">
        <v>71</v>
      </c>
      <c r="B6" s="29">
        <v>0</v>
      </c>
      <c r="C6" s="13" t="s">
        <v>72</v>
      </c>
      <c r="D6" s="30">
        <v>1</v>
      </c>
      <c r="E6" s="12" t="s">
        <v>73</v>
      </c>
      <c r="F6" s="31" t="s">
        <v>68</v>
      </c>
    </row>
    <row r="7" spans="1:6" ht="24" customHeight="1" x14ac:dyDescent="0.25">
      <c r="A7" s="32" t="s">
        <v>74</v>
      </c>
      <c r="B7" s="29">
        <v>0.1</v>
      </c>
      <c r="C7" s="17" t="s">
        <v>66</v>
      </c>
      <c r="D7" s="33">
        <v>0</v>
      </c>
      <c r="E7" s="16" t="s">
        <v>75</v>
      </c>
      <c r="F7" s="31" t="s">
        <v>68</v>
      </c>
    </row>
    <row r="8" spans="1:6" ht="24" customHeight="1" x14ac:dyDescent="0.25">
      <c r="A8" s="34" t="s">
        <v>76</v>
      </c>
      <c r="B8" s="29">
        <v>0.02</v>
      </c>
      <c r="C8" s="13" t="s">
        <v>66</v>
      </c>
      <c r="D8" s="33">
        <v>0</v>
      </c>
      <c r="E8" s="12" t="s">
        <v>77</v>
      </c>
      <c r="F8" s="31" t="s">
        <v>68</v>
      </c>
    </row>
    <row r="9" spans="1:6" ht="24" customHeight="1" x14ac:dyDescent="0.25">
      <c r="A9" s="32" t="s">
        <v>78</v>
      </c>
      <c r="B9" s="29">
        <v>0.2</v>
      </c>
      <c r="C9" s="17" t="s">
        <v>66</v>
      </c>
      <c r="D9" s="33">
        <v>0</v>
      </c>
      <c r="E9" s="16" t="s">
        <v>79</v>
      </c>
      <c r="F9" s="31" t="s">
        <v>68</v>
      </c>
    </row>
    <row r="10" spans="1:6" ht="24" customHeight="1" x14ac:dyDescent="0.25">
      <c r="A10" s="34" t="s">
        <v>80</v>
      </c>
      <c r="B10" s="29">
        <v>15</v>
      </c>
      <c r="C10" s="13" t="s">
        <v>81</v>
      </c>
      <c r="D10" s="33">
        <v>0</v>
      </c>
      <c r="E10" s="12" t="s">
        <v>82</v>
      </c>
      <c r="F10" s="31" t="s">
        <v>68</v>
      </c>
    </row>
    <row r="11" spans="1:6" ht="24" customHeight="1" x14ac:dyDescent="0.25">
      <c r="A11" s="32" t="s">
        <v>83</v>
      </c>
      <c r="B11" s="29">
        <v>200000</v>
      </c>
      <c r="C11" s="17" t="s">
        <v>84</v>
      </c>
      <c r="D11" s="33">
        <v>0</v>
      </c>
      <c r="E11" s="16" t="s">
        <v>85</v>
      </c>
      <c r="F11" s="30">
        <v>1</v>
      </c>
    </row>
    <row r="14" spans="1:6" ht="31.5" customHeight="1" x14ac:dyDescent="0.25">
      <c r="A14" s="94" t="s">
        <v>86</v>
      </c>
      <c r="B14" s="94"/>
      <c r="C14" s="94"/>
      <c r="D14" s="94"/>
      <c r="E14" s="94"/>
      <c r="F14" s="94"/>
    </row>
  </sheetData>
  <sheetProtection algorithmName="SHA-512" hashValue="yjzDHtybpW+NvnXPBxWRpZ+e9xfFaI/ue4/tVFxpx6y28wMlJL57lOV+SUOga8cpkYBfZ2wm9GIWd3pdGHznCA==" saltValue="EqU+6zYsn5otp8Ad9OYpXA==" spinCount="100000" sheet="1" formatCells="0" formatColumns="0" formatRows="0" insertColumns="0" insertRows="0" insertHyperlinks="0" deleteColumns="0" deleteRows="0" sort="0" autoFilter="0" pivotTables="0"/>
  <mergeCells count="2">
    <mergeCell ref="A1:F1"/>
    <mergeCell ref="A14:F14"/>
  </mergeCells>
  <dataValidations count="2">
    <dataValidation type="whole" showInputMessage="1" showErrorMessage="1" errorTitle="Неверное значение" error="Status должен быть 0 (выключено) или 1 (включено)" promptTitle="Status" prompt="Введите 0 (OFF) или 1 (ON)" sqref="D4:D11" xr:uid="{00000000-0002-0000-0100-000000000000}">
      <formula1>0</formula1>
      <formula2>1</formula2>
    </dataValidation>
    <dataValidation type="whole" showInputMessage="1" showErrorMessage="1" errorTitle="Неверный месяц" error="Apply Month должен быть числом от 1 до 24" promptTitle="Apply Month" prompt="Введите номер месяца от 1 до 24" sqref="F11" xr:uid="{00000000-0002-0000-0100-000001000000}">
      <formula1>1</formula1>
      <formula2>24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2"/>
  <sheetViews>
    <sheetView showGridLines="0" zoomScaleNormal="10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H23" sqref="H23"/>
    </sheetView>
  </sheetViews>
  <sheetFormatPr defaultColWidth="8.7109375" defaultRowHeight="15" x14ac:dyDescent="0.25"/>
  <cols>
    <col min="1" max="1" width="26" style="9" customWidth="1"/>
    <col min="2" max="2" width="11" style="9" customWidth="1"/>
    <col min="3" max="26" width="10" style="9" customWidth="1"/>
    <col min="27" max="27" width="32" style="9" customWidth="1"/>
  </cols>
  <sheetData>
    <row r="1" spans="1:27" ht="48" customHeight="1" x14ac:dyDescent="0.25">
      <c r="A1" s="95" t="s">
        <v>87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7" ht="21.75" customHeight="1" x14ac:dyDescent="0.25">
      <c r="A2" s="8" t="s">
        <v>88</v>
      </c>
      <c r="B2" s="8"/>
      <c r="C2" s="8"/>
      <c r="D2" s="8" t="s">
        <v>89</v>
      </c>
      <c r="E2" s="8"/>
      <c r="F2" s="8"/>
      <c r="G2" s="8" t="s">
        <v>90</v>
      </c>
      <c r="H2" s="8"/>
      <c r="I2" s="8"/>
      <c r="J2" s="8" t="s">
        <v>91</v>
      </c>
      <c r="K2" s="8"/>
      <c r="L2" s="8"/>
      <c r="M2" s="8" t="s">
        <v>92</v>
      </c>
      <c r="N2" s="8"/>
      <c r="O2" s="8"/>
    </row>
    <row r="3" spans="1:27" ht="30" customHeight="1" x14ac:dyDescent="0.25">
      <c r="A3" s="7">
        <f>IFERROR(AVERAGEIF(C28:Z28,"&gt;0"),0)</f>
        <v>108080</v>
      </c>
      <c r="B3" s="7"/>
      <c r="C3" s="7"/>
      <c r="D3" s="6" t="str">
        <f ca="1">IFERROR(_xludf.aggregate(15,6,IF((C29:Z29&gt;0)*(ISNUMBER(C29:Z29)),C29:Z29),1),"✅ Safe")</f>
        <v>✅ Safe</v>
      </c>
      <c r="E3" s="6"/>
      <c r="F3" s="6"/>
      <c r="G3" s="5">
        <f>IFERROR(AVERAGE(C31:Z31),0)</f>
        <v>121118.42783505157</v>
      </c>
      <c r="H3" s="5"/>
      <c r="I3" s="5"/>
      <c r="J3" s="7">
        <f>Assumptions!B34</f>
        <v>500000</v>
      </c>
      <c r="K3" s="7"/>
      <c r="L3" s="7"/>
      <c r="M3" s="7">
        <f>MIN(C25:Z25)</f>
        <v>-108080</v>
      </c>
      <c r="N3" s="7"/>
      <c r="O3" s="7"/>
    </row>
    <row r="4" spans="1:27" ht="21.75" customHeight="1" x14ac:dyDescent="0.25">
      <c r="A4" s="4" t="s">
        <v>93</v>
      </c>
      <c r="B4" s="4"/>
      <c r="C4" s="4"/>
      <c r="D4" s="4" t="s">
        <v>94</v>
      </c>
      <c r="E4" s="4"/>
      <c r="F4" s="4"/>
      <c r="G4" s="4" t="s">
        <v>95</v>
      </c>
      <c r="H4" s="4"/>
      <c r="I4" s="4"/>
      <c r="J4" s="4" t="s">
        <v>44</v>
      </c>
      <c r="K4" s="4"/>
      <c r="L4" s="4"/>
      <c r="M4" s="4" t="s">
        <v>96</v>
      </c>
      <c r="N4" s="4"/>
      <c r="O4" s="4"/>
    </row>
    <row r="5" spans="1:27" ht="3.75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1:27" ht="19.5" customHeight="1" x14ac:dyDescent="0.25">
      <c r="A6" s="3" t="s">
        <v>97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4"/>
    </row>
    <row r="7" spans="1:27" ht="25.5" customHeight="1" x14ac:dyDescent="0.25">
      <c r="A7" s="36" t="s">
        <v>98</v>
      </c>
      <c r="B7" s="37" t="s">
        <v>99</v>
      </c>
      <c r="C7" s="37" t="s">
        <v>100</v>
      </c>
      <c r="D7" s="37" t="s">
        <v>101</v>
      </c>
      <c r="E7" s="37" t="s">
        <v>102</v>
      </c>
      <c r="F7" s="37" t="s">
        <v>103</v>
      </c>
      <c r="G7" s="37" t="s">
        <v>104</v>
      </c>
      <c r="H7" s="37" t="s">
        <v>105</v>
      </c>
      <c r="I7" s="37" t="s">
        <v>106</v>
      </c>
      <c r="J7" s="37" t="s">
        <v>107</v>
      </c>
      <c r="K7" s="37" t="s">
        <v>108</v>
      </c>
      <c r="L7" s="37" t="s">
        <v>109</v>
      </c>
      <c r="M7" s="37" t="s">
        <v>110</v>
      </c>
      <c r="N7" s="37" t="s">
        <v>111</v>
      </c>
      <c r="O7" s="37" t="s">
        <v>112</v>
      </c>
      <c r="P7" s="37" t="s">
        <v>113</v>
      </c>
      <c r="Q7" s="37" t="s">
        <v>114</v>
      </c>
      <c r="R7" s="37" t="s">
        <v>115</v>
      </c>
      <c r="S7" s="37" t="s">
        <v>116</v>
      </c>
      <c r="T7" s="37" t="s">
        <v>117</v>
      </c>
      <c r="U7" s="37" t="s">
        <v>118</v>
      </c>
      <c r="V7" s="37" t="s">
        <v>119</v>
      </c>
      <c r="W7" s="37" t="s">
        <v>120</v>
      </c>
      <c r="X7" s="37" t="s">
        <v>121</v>
      </c>
      <c r="Y7" s="37" t="s">
        <v>122</v>
      </c>
      <c r="Z7" s="37" t="s">
        <v>123</v>
      </c>
      <c r="AA7" s="38" t="s">
        <v>124</v>
      </c>
    </row>
    <row r="8" spans="1:27" ht="24" customHeight="1" x14ac:dyDescent="0.25">
      <c r="A8" s="2" t="s">
        <v>125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9.5" customHeight="1" x14ac:dyDescent="0.25">
      <c r="A9" s="39" t="s">
        <v>126</v>
      </c>
      <c r="B9" s="40" t="s">
        <v>127</v>
      </c>
      <c r="C9" s="41">
        <f>Assumptions!B7</f>
        <v>100</v>
      </c>
      <c r="D9" s="41">
        <f>ROUND(C9*(1+Assumptions!B8),0)</f>
        <v>105</v>
      </c>
      <c r="E9" s="41">
        <f>ROUND(D9*(1+Assumptions!B8),0)</f>
        <v>110</v>
      </c>
      <c r="F9" s="41">
        <f>ROUND(E9*(1+Assumptions!B8),0)</f>
        <v>116</v>
      </c>
      <c r="G9" s="41">
        <f>ROUND(F9*(1+Assumptions!B8),0)</f>
        <v>122</v>
      </c>
      <c r="H9" s="41">
        <f>ROUND(G9*(1+Assumptions!B8),0)</f>
        <v>128</v>
      </c>
      <c r="I9" s="41">
        <f>ROUND(H9*(1+Assumptions!B8),0)</f>
        <v>134</v>
      </c>
      <c r="J9" s="41">
        <f>ROUND(I9*(1+Assumptions!B8),0)</f>
        <v>141</v>
      </c>
      <c r="K9" s="41">
        <f>ROUND(J9*(1+Assumptions!B8),0)</f>
        <v>148</v>
      </c>
      <c r="L9" s="41">
        <f>ROUND(K9*(1+Assumptions!B8),0)</f>
        <v>155</v>
      </c>
      <c r="M9" s="41">
        <f>ROUND(L9*(1+Assumptions!B8),0)</f>
        <v>163</v>
      </c>
      <c r="N9" s="41">
        <f>ROUND(M9*(1+Assumptions!B8),0)</f>
        <v>171</v>
      </c>
      <c r="O9" s="41">
        <f>ROUND(N9*(1+Assumptions!B8),0)</f>
        <v>180</v>
      </c>
      <c r="P9" s="41">
        <f>ROUND(O9*(1+Assumptions!B8),0)</f>
        <v>189</v>
      </c>
      <c r="Q9" s="41">
        <f>ROUND(P9*(1+Assumptions!B8),0)</f>
        <v>198</v>
      </c>
      <c r="R9" s="41">
        <f>ROUND(Q9*(1+Assumptions!B8),0)</f>
        <v>208</v>
      </c>
      <c r="S9" s="41">
        <f>ROUND(R9*(1+Assumptions!B8),0)</f>
        <v>218</v>
      </c>
      <c r="T9" s="41">
        <f>ROUND(S9*(1+Assumptions!B8),0)</f>
        <v>229</v>
      </c>
      <c r="U9" s="41">
        <f>ROUND(T9*(1+Assumptions!B8),0)</f>
        <v>240</v>
      </c>
      <c r="V9" s="41">
        <f>ROUND(U9*(1+Assumptions!B8),0)</f>
        <v>252</v>
      </c>
      <c r="W9" s="41">
        <f>ROUND(V9*(1+Assumptions!B8),0)</f>
        <v>265</v>
      </c>
      <c r="X9" s="41">
        <f>ROUND(W9*(1+Assumptions!B8),0)</f>
        <v>278</v>
      </c>
      <c r="Y9" s="41">
        <f>ROUND(X9*(1+Assumptions!B8),0)</f>
        <v>292</v>
      </c>
      <c r="Z9" s="41">
        <f>ROUND(Y9*(1+Assumptions!B8),0)</f>
        <v>307</v>
      </c>
      <c r="AA9" s="42" t="s">
        <v>128</v>
      </c>
    </row>
    <row r="10" spans="1:27" ht="19.5" customHeight="1" x14ac:dyDescent="0.25">
      <c r="A10" s="43" t="s">
        <v>129</v>
      </c>
      <c r="B10" s="44" t="s">
        <v>130</v>
      </c>
      <c r="C10" s="45">
        <f>ROUND(C9*Assumptions!B5*Assumptions!B6*(1+Decisions!D7*Decisions!B7),0)</f>
        <v>12500</v>
      </c>
      <c r="D10" s="45">
        <f>ROUND(D9*Assumptions!B5*Assumptions!B6*(1+Decisions!D7*Decisions!B7),0)</f>
        <v>13125</v>
      </c>
      <c r="E10" s="45">
        <f>ROUND(E9*Assumptions!B5*Assumptions!B6*(1+Decisions!D7*Decisions!B7),0)</f>
        <v>13750</v>
      </c>
      <c r="F10" s="45">
        <f>ROUND(F9*Assumptions!B5*Assumptions!B6*(1+Decisions!D7*Decisions!B7),0)</f>
        <v>14500</v>
      </c>
      <c r="G10" s="45">
        <f>ROUND(G9*Assumptions!B5*Assumptions!B6*(1+Decisions!D7*Decisions!B7),0)</f>
        <v>15250</v>
      </c>
      <c r="H10" s="45">
        <f>ROUND(H9*Assumptions!B5*Assumptions!B6*(1+Decisions!D7*Decisions!B7),0)</f>
        <v>16000</v>
      </c>
      <c r="I10" s="45">
        <f>ROUND(I9*Assumptions!B5*Assumptions!B6*(1+Decisions!D7*Decisions!B7),0)</f>
        <v>16750</v>
      </c>
      <c r="J10" s="45">
        <f>ROUND(J9*Assumptions!B5*Assumptions!B6*(1+Decisions!D7*Decisions!B7),0)</f>
        <v>17625</v>
      </c>
      <c r="K10" s="45">
        <f>ROUND(K9*Assumptions!B5*Assumptions!B6*(1+Decisions!D7*Decisions!B7),0)</f>
        <v>18500</v>
      </c>
      <c r="L10" s="45">
        <f>ROUND(L9*Assumptions!B5*Assumptions!B6*(1+Decisions!D7*Decisions!B7),0)</f>
        <v>19375</v>
      </c>
      <c r="M10" s="45">
        <f>ROUND(M9*Assumptions!B5*Assumptions!B6*(1+Decisions!D7*Decisions!B7),0)</f>
        <v>20375</v>
      </c>
      <c r="N10" s="45">
        <f>ROUND(N9*Assumptions!B5*Assumptions!B6*(1+Decisions!D7*Decisions!B7),0)</f>
        <v>21375</v>
      </c>
      <c r="O10" s="45">
        <f>ROUND(O9*Assumptions!B5*Assumptions!B6*(1+Decisions!D7*Decisions!B7),0)</f>
        <v>22500</v>
      </c>
      <c r="P10" s="45">
        <f>ROUND(P9*Assumptions!B5*Assumptions!B6*(1+Decisions!D7*Decisions!B7),0)</f>
        <v>23625</v>
      </c>
      <c r="Q10" s="45">
        <f>ROUND(Q9*Assumptions!B5*Assumptions!B6*(1+Decisions!D7*Decisions!B7),0)</f>
        <v>24750</v>
      </c>
      <c r="R10" s="45">
        <f>ROUND(R9*Assumptions!B5*Assumptions!B6*(1+Decisions!D7*Decisions!B7),0)</f>
        <v>26000</v>
      </c>
      <c r="S10" s="45">
        <f>ROUND(S9*Assumptions!B5*Assumptions!B6*(1+Decisions!D7*Decisions!B7),0)</f>
        <v>27250</v>
      </c>
      <c r="T10" s="45">
        <f>ROUND(T9*Assumptions!B5*Assumptions!B6*(1+Decisions!D7*Decisions!B7),0)</f>
        <v>28625</v>
      </c>
      <c r="U10" s="45">
        <f>ROUND(U9*Assumptions!B5*Assumptions!B6*(1+Decisions!D7*Decisions!B7),0)</f>
        <v>30000</v>
      </c>
      <c r="V10" s="45">
        <f>ROUND(V9*Assumptions!B5*Assumptions!B6*(1+Decisions!D7*Decisions!B7),0)</f>
        <v>31500</v>
      </c>
      <c r="W10" s="45">
        <f>ROUND(W9*Assumptions!B5*Assumptions!B6*(1+Decisions!D7*Decisions!B7),0)</f>
        <v>33125</v>
      </c>
      <c r="X10" s="45">
        <f>ROUND(X9*Assumptions!B5*Assumptions!B6*(1+Decisions!D7*Decisions!B7),0)</f>
        <v>34750</v>
      </c>
      <c r="Y10" s="45">
        <f>ROUND(Y9*Assumptions!B5*Assumptions!B6*(1+Decisions!D7*Decisions!B7),0)</f>
        <v>36500</v>
      </c>
      <c r="Z10" s="45">
        <f>ROUND(Z9*Assumptions!B5*Assumptions!B6*(1+Decisions!D7*Decisions!B7),0)</f>
        <v>38375</v>
      </c>
      <c r="AA10" s="46" t="s">
        <v>131</v>
      </c>
    </row>
    <row r="11" spans="1:27" ht="19.5" customHeight="1" x14ac:dyDescent="0.25">
      <c r="A11" s="39" t="s">
        <v>132</v>
      </c>
      <c r="B11" s="40" t="s">
        <v>133</v>
      </c>
      <c r="C11" s="41">
        <f>Assumptions!B9</f>
        <v>120000</v>
      </c>
      <c r="D11" s="41">
        <f>ROUND((C11+C10)*(1-MAX(0,IF(2&gt;=Assumptions!B35,Assumptions!B36,Assumptions!B10)-Decisions!D8*Decisions!B8)),0)</f>
        <v>128525</v>
      </c>
      <c r="E11" s="41">
        <f>ROUND((D11+D10)*(1-MAX(0,IF(3&gt;=Assumptions!B35,Assumptions!B36,Assumptions!B10)-Decisions!D8*Decisions!B8)),0)</f>
        <v>137401</v>
      </c>
      <c r="F11" s="41">
        <f>ROUND((E11+E10)*(1-MAX(0,IF(4&gt;=Assumptions!B35,Assumptions!B36,Assumptions!B10)-Decisions!D8*Decisions!B8)),0)</f>
        <v>146616</v>
      </c>
      <c r="G11" s="41">
        <f>ROUND((F11+F10)*(1-MAX(0,IF(5&gt;=Assumptions!B35,Assumptions!B36,Assumptions!B10)-Decisions!D8*Decisions!B8)),0)</f>
        <v>156283</v>
      </c>
      <c r="H11" s="41">
        <f>ROUND((G11+G10)*(1-MAX(0,IF(6&gt;=Assumptions!B35,Assumptions!B36,Assumptions!B10)-Decisions!D8*Decisions!B8)),0)</f>
        <v>166387</v>
      </c>
      <c r="I11" s="41">
        <f>ROUND((H11+H10)*(1-MAX(0,IF(7&gt;=Assumptions!B35,Assumptions!B36,Assumptions!B10)-Decisions!D8*Decisions!B8)),0)</f>
        <v>160501</v>
      </c>
      <c r="J11" s="41">
        <f>ROUND((I11+I10)*(1-MAX(0,IF(8&gt;=Assumptions!B35,Assumptions!B36,Assumptions!B10)-Decisions!D8*Decisions!B8)),0)</f>
        <v>155981</v>
      </c>
      <c r="K11" s="41">
        <f>ROUND((J11+J10)*(1-MAX(0,IF(9&gt;=Assumptions!B35,Assumptions!B36,Assumptions!B10)-Decisions!D8*Decisions!B8)),0)</f>
        <v>152773</v>
      </c>
      <c r="L11" s="41">
        <f>ROUND((K11+K10)*(1-MAX(0,IF(10&gt;=Assumptions!B35,Assumptions!B36,Assumptions!B10)-Decisions!D8*Decisions!B8)),0)</f>
        <v>150720</v>
      </c>
      <c r="M11" s="41">
        <f>ROUND((L11+L10)*(1-MAX(0,IF(11&gt;=Assumptions!B35,Assumptions!B36,Assumptions!B10)-Decisions!D8*Decisions!B8)),0)</f>
        <v>149684</v>
      </c>
      <c r="N11" s="41">
        <f>ROUND((M11+M10)*(1-MAX(0,IF(12&gt;=Assumptions!B35,Assumptions!B36,Assumptions!B10)-Decisions!D8*Decisions!B8)),0)</f>
        <v>149652</v>
      </c>
      <c r="O11" s="41">
        <f>ROUND((N11+N10)*(1-MAX(0,IF(13&gt;=Assumptions!B35,Assumptions!B36,Assumptions!B10)-Decisions!D8*Decisions!B8)),0)</f>
        <v>150504</v>
      </c>
      <c r="P11" s="41">
        <f>ROUND((O11+O10)*(1-MAX(0,IF(14&gt;=Assumptions!B35,Assumptions!B36,Assumptions!B10)-Decisions!D8*Decisions!B8)),0)</f>
        <v>152244</v>
      </c>
      <c r="Q11" s="41">
        <f>ROUND((P11+P10)*(1-MAX(0,IF(15&gt;=Assumptions!B35,Assumptions!B36,Assumptions!B10)-Decisions!D8*Decisions!B8)),0)</f>
        <v>154765</v>
      </c>
      <c r="R11" s="41">
        <f>ROUND((Q11+Q10)*(1-MAX(0,IF(16&gt;=Assumptions!B35,Assumptions!B36,Assumptions!B10)-Decisions!D8*Decisions!B8)),0)</f>
        <v>157973</v>
      </c>
      <c r="S11" s="41">
        <f>ROUND((R11+R10)*(1-MAX(0,IF(17&gt;=Assumptions!B35,Assumptions!B36,Assumptions!B10)-Decisions!D8*Decisions!B8)),0)</f>
        <v>161896</v>
      </c>
      <c r="T11" s="41">
        <f>ROUND((S11+S10)*(1-MAX(0,IF(18&gt;=Assumptions!B35,Assumptions!B36,Assumptions!B10)-Decisions!D8*Decisions!B8)),0)</f>
        <v>166448</v>
      </c>
      <c r="U11" s="41">
        <f>ROUND((T11+T10)*(1-MAX(0,IF(19&gt;=Assumptions!B35,Assumptions!B36,Assumptions!B10)-Decisions!D8*Decisions!B8)),0)</f>
        <v>171664</v>
      </c>
      <c r="V11" s="41">
        <f>ROUND((U11+U10)*(1-MAX(0,IF(20&gt;=Assumptions!B35,Assumptions!B36,Assumptions!B10)-Decisions!D8*Decisions!B8)),0)</f>
        <v>177464</v>
      </c>
      <c r="W11" s="41">
        <f>ROUND((V11+V10)*(1-MAX(0,IF(21&gt;=Assumptions!B35,Assumptions!B36,Assumptions!B10)-Decisions!D8*Decisions!B8)),0)</f>
        <v>183888</v>
      </c>
      <c r="X11" s="41">
        <f>ROUND((W11+W10)*(1-MAX(0,IF(22&gt;=Assumptions!B35,Assumptions!B36,Assumptions!B10)-Decisions!D8*Decisions!B8)),0)</f>
        <v>190971</v>
      </c>
      <c r="Y11" s="41">
        <f>ROUND((X11+X10)*(1-MAX(0,IF(23&gt;=Assumptions!B35,Assumptions!B36,Assumptions!B10)-Decisions!D8*Decisions!B8)),0)</f>
        <v>198634</v>
      </c>
      <c r="Z11" s="41">
        <f>ROUND((Y11+Y10)*(1-MAX(0,IF(24&gt;=Assumptions!B35,Assumptions!B36,Assumptions!B10)-Decisions!D8*Decisions!B8)),0)</f>
        <v>206918</v>
      </c>
      <c r="AA11" s="42" t="s">
        <v>134</v>
      </c>
    </row>
    <row r="12" spans="1:27" ht="19.5" customHeight="1" x14ac:dyDescent="0.25">
      <c r="A12" s="43" t="s">
        <v>135</v>
      </c>
      <c r="B12" s="44" t="s">
        <v>133</v>
      </c>
      <c r="C12" s="45">
        <f t="shared" ref="C12:Z12" si="0">C11</f>
        <v>120000</v>
      </c>
      <c r="D12" s="45">
        <f t="shared" si="0"/>
        <v>128525</v>
      </c>
      <c r="E12" s="45">
        <f t="shared" si="0"/>
        <v>137401</v>
      </c>
      <c r="F12" s="45">
        <f t="shared" si="0"/>
        <v>146616</v>
      </c>
      <c r="G12" s="45">
        <f t="shared" si="0"/>
        <v>156283</v>
      </c>
      <c r="H12" s="45">
        <f t="shared" si="0"/>
        <v>166387</v>
      </c>
      <c r="I12" s="45">
        <f t="shared" si="0"/>
        <v>160501</v>
      </c>
      <c r="J12" s="45">
        <f t="shared" si="0"/>
        <v>155981</v>
      </c>
      <c r="K12" s="45">
        <f t="shared" si="0"/>
        <v>152773</v>
      </c>
      <c r="L12" s="45">
        <f t="shared" si="0"/>
        <v>150720</v>
      </c>
      <c r="M12" s="45">
        <f t="shared" si="0"/>
        <v>149684</v>
      </c>
      <c r="N12" s="45">
        <f t="shared" si="0"/>
        <v>149652</v>
      </c>
      <c r="O12" s="45">
        <f t="shared" si="0"/>
        <v>150504</v>
      </c>
      <c r="P12" s="45">
        <f t="shared" si="0"/>
        <v>152244</v>
      </c>
      <c r="Q12" s="45">
        <f t="shared" si="0"/>
        <v>154765</v>
      </c>
      <c r="R12" s="45">
        <f t="shared" si="0"/>
        <v>157973</v>
      </c>
      <c r="S12" s="45">
        <f t="shared" si="0"/>
        <v>161896</v>
      </c>
      <c r="T12" s="45">
        <f t="shared" si="0"/>
        <v>166448</v>
      </c>
      <c r="U12" s="45">
        <f t="shared" si="0"/>
        <v>171664</v>
      </c>
      <c r="V12" s="45">
        <f t="shared" si="0"/>
        <v>177464</v>
      </c>
      <c r="W12" s="45">
        <f t="shared" si="0"/>
        <v>183888</v>
      </c>
      <c r="X12" s="45">
        <f t="shared" si="0"/>
        <v>190971</v>
      </c>
      <c r="Y12" s="45">
        <f t="shared" si="0"/>
        <v>198634</v>
      </c>
      <c r="Z12" s="45">
        <f t="shared" si="0"/>
        <v>206918</v>
      </c>
      <c r="AA12" s="46" t="s">
        <v>136</v>
      </c>
    </row>
    <row r="13" spans="1:27" ht="19.5" customHeight="1" x14ac:dyDescent="0.25">
      <c r="A13" s="39" t="s">
        <v>137</v>
      </c>
      <c r="B13" s="40" t="s">
        <v>133</v>
      </c>
      <c r="C13" s="41">
        <f>ROUND(MIN(1,(MAX(0,Assumptions!B29-Decisions!D10*Decisions!B10))/30)*0+(1-MIN(1,(MAX(0,Assumptions!B29-Decisions!D10*Decisions!B10))/30))*C12,0)</f>
        <v>0</v>
      </c>
      <c r="D13" s="41">
        <f>ROUND(MIN(1,(MAX(0,Assumptions!B29-Decisions!D10*Decisions!B10))/30)*C12+(1-MIN(1,(MAX(0,Assumptions!B29-Decisions!D10*Decisions!B10))/30))*D12,0)</f>
        <v>120000</v>
      </c>
      <c r="E13" s="41">
        <f>ROUND(MIN(1,(MAX(0,Assumptions!B29-Decisions!D10*Decisions!B10))/30)*D12+(1-MIN(1,(MAX(0,Assumptions!B29-Decisions!D10*Decisions!B10))/30))*E12,0)</f>
        <v>128525</v>
      </c>
      <c r="F13" s="41">
        <f>ROUND(MIN(1,(MAX(0,Assumptions!B29-Decisions!D10*Decisions!B10))/30)*E12+(1-MIN(1,(MAX(0,Assumptions!B29-Decisions!D10*Decisions!B10))/30))*F12,0)</f>
        <v>137401</v>
      </c>
      <c r="G13" s="41">
        <f>ROUND(MIN(1,(MAX(0,Assumptions!B29-Decisions!D10*Decisions!B10))/30)*F12+(1-MIN(1,(MAX(0,Assumptions!B29-Decisions!D10*Decisions!B10))/30))*G12,0)</f>
        <v>146616</v>
      </c>
      <c r="H13" s="41">
        <f>ROUND(MIN(1,(MAX(0,Assumptions!B29-Decisions!D10*Decisions!B10))/30)*G12+(1-MIN(1,(MAX(0,Assumptions!B29-Decisions!D10*Decisions!B10))/30))*H12,0)</f>
        <v>156283</v>
      </c>
      <c r="I13" s="41">
        <f>ROUND(MIN(1,(MAX(0,Assumptions!B29-Decisions!D10*Decisions!B10))/30)*H12+(1-MIN(1,(MAX(0,Assumptions!B29-Decisions!D10*Decisions!B10))/30))*I12,0)</f>
        <v>166387</v>
      </c>
      <c r="J13" s="41">
        <f>ROUND(MIN(1,(MAX(0,Assumptions!B29-Decisions!D10*Decisions!B10))/30)*I12+(1-MIN(1,(MAX(0,Assumptions!B29-Decisions!D10*Decisions!B10))/30))*J12,0)</f>
        <v>160501</v>
      </c>
      <c r="K13" s="41">
        <f>ROUND(MIN(1,(MAX(0,Assumptions!B29-Decisions!D10*Decisions!B10))/30)*J12+(1-MIN(1,(MAX(0,Assumptions!B29-Decisions!D10*Decisions!B10))/30))*K12,0)</f>
        <v>155981</v>
      </c>
      <c r="L13" s="41">
        <f>ROUND(MIN(1,(MAX(0,Assumptions!B29-Decisions!D10*Decisions!B10))/30)*K12+(1-MIN(1,(MAX(0,Assumptions!B29-Decisions!D10*Decisions!B10))/30))*L12,0)</f>
        <v>152773</v>
      </c>
      <c r="M13" s="41">
        <f>ROUND(MIN(1,(MAX(0,Assumptions!B29-Decisions!D10*Decisions!B10))/30)*L12+(1-MIN(1,(MAX(0,Assumptions!B29-Decisions!D10*Decisions!B10))/30))*M12,0)</f>
        <v>150720</v>
      </c>
      <c r="N13" s="41">
        <f>ROUND(MIN(1,(MAX(0,Assumptions!B29-Decisions!D10*Decisions!B10))/30)*M12+(1-MIN(1,(MAX(0,Assumptions!B29-Decisions!D10*Decisions!B10))/30))*N12,0)</f>
        <v>149684</v>
      </c>
      <c r="O13" s="41">
        <f>ROUND(MIN(1,(MAX(0,Assumptions!B29-Decisions!D10*Decisions!B10))/30)*N12+(1-MIN(1,(MAX(0,Assumptions!B29-Decisions!D10*Decisions!B10))/30))*O12,0)</f>
        <v>149652</v>
      </c>
      <c r="P13" s="41">
        <f>ROUND(MIN(1,(MAX(0,Assumptions!B29-Decisions!D10*Decisions!B10))/30)*O12+(1-MIN(1,(MAX(0,Assumptions!B29-Decisions!D10*Decisions!B10))/30))*P12,0)</f>
        <v>150504</v>
      </c>
      <c r="Q13" s="41">
        <f>ROUND(MIN(1,(MAX(0,Assumptions!B29-Decisions!D10*Decisions!B10))/30)*P12+(1-MIN(1,(MAX(0,Assumptions!B29-Decisions!D10*Decisions!B10))/30))*Q12,0)</f>
        <v>152244</v>
      </c>
      <c r="R13" s="41">
        <f>ROUND(MIN(1,(MAX(0,Assumptions!B29-Decisions!D10*Decisions!B10))/30)*Q12+(1-MIN(1,(MAX(0,Assumptions!B29-Decisions!D10*Decisions!B10))/30))*R12,0)</f>
        <v>154765</v>
      </c>
      <c r="S13" s="41">
        <f>ROUND(MIN(1,(MAX(0,Assumptions!B29-Decisions!D10*Decisions!B10))/30)*R12+(1-MIN(1,(MAX(0,Assumptions!B29-Decisions!D10*Decisions!B10))/30))*S12,0)</f>
        <v>157973</v>
      </c>
      <c r="T13" s="41">
        <f>ROUND(MIN(1,(MAX(0,Assumptions!B29-Decisions!D10*Decisions!B10))/30)*S12+(1-MIN(1,(MAX(0,Assumptions!B29-Decisions!D10*Decisions!B10))/30))*T12,0)</f>
        <v>161896</v>
      </c>
      <c r="U13" s="41">
        <f>ROUND(MIN(1,(MAX(0,Assumptions!B29-Decisions!D10*Decisions!B10))/30)*T12+(1-MIN(1,(MAX(0,Assumptions!B29-Decisions!D10*Decisions!B10))/30))*U12,0)</f>
        <v>166448</v>
      </c>
      <c r="V13" s="41">
        <f>ROUND(MIN(1,(MAX(0,Assumptions!B29-Decisions!D10*Decisions!B10))/30)*U12+(1-MIN(1,(MAX(0,Assumptions!B29-Decisions!D10*Decisions!B10))/30))*V12,0)</f>
        <v>171664</v>
      </c>
      <c r="W13" s="41">
        <f>ROUND(MIN(1,(MAX(0,Assumptions!B29-Decisions!D10*Decisions!B10))/30)*V12+(1-MIN(1,(MAX(0,Assumptions!B29-Decisions!D10*Decisions!B10))/30))*W12,0)</f>
        <v>177464</v>
      </c>
      <c r="X13" s="41">
        <f>ROUND(MIN(1,(MAX(0,Assumptions!B29-Decisions!D10*Decisions!B10))/30)*W12+(1-MIN(1,(MAX(0,Assumptions!B29-Decisions!D10*Decisions!B10))/30))*X12,0)</f>
        <v>183888</v>
      </c>
      <c r="Y13" s="41">
        <f>ROUND(MIN(1,(MAX(0,Assumptions!B29-Decisions!D10*Decisions!B10))/30)*X12+(1-MIN(1,(MAX(0,Assumptions!B29-Decisions!D10*Decisions!B10))/30))*Y12,0)</f>
        <v>190971</v>
      </c>
      <c r="Z13" s="41">
        <f>ROUND(MIN(1,(MAX(0,Assumptions!B29-Decisions!D10*Decisions!B10))/30)*Y12+(1-MIN(1,(MAX(0,Assumptions!B29-Decisions!D10*Decisions!B10))/30))*Z12,0)</f>
        <v>198634</v>
      </c>
      <c r="AA13" s="42" t="s">
        <v>138</v>
      </c>
    </row>
    <row r="14" spans="1:27" ht="24" customHeight="1" x14ac:dyDescent="0.25">
      <c r="A14" s="1" t="s">
        <v>139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9.5" customHeight="1" x14ac:dyDescent="0.25">
      <c r="A15" s="48" t="s">
        <v>140</v>
      </c>
      <c r="B15" s="49" t="s">
        <v>141</v>
      </c>
      <c r="C15" s="50">
        <f>ROUND(Assumptions!B16*(1+IF(Decisions!D6=1,0,Assumptions!B21/12))^(0)*IF(1&gt;=Assumptions!B37,Assumptions!B38,1)*(1-Decisions!D5*Decisions!B5),0)</f>
        <v>65000</v>
      </c>
      <c r="D15" s="50">
        <f>ROUND(Assumptions!B16*(1+IF(Decisions!D6=1,0,Assumptions!B21/12))^(1)*IF(2&gt;=Assumptions!B37,Assumptions!B38,1)*(1-Decisions!D5*Decisions!B5),0)</f>
        <v>65000</v>
      </c>
      <c r="E15" s="50">
        <f>ROUND(Assumptions!B16*(1+IF(Decisions!D6=1,0,Assumptions!B21/12))^(2)*IF(3&gt;=Assumptions!B37,Assumptions!B38,1)*(1-Decisions!D5*Decisions!B5),0)</f>
        <v>65000</v>
      </c>
      <c r="F15" s="50">
        <f>ROUND(Assumptions!B16*(1+IF(Decisions!D6=1,0,Assumptions!B21/12))^(3)*IF(4&gt;=Assumptions!B37,Assumptions!B38,1)*(1-Decisions!D5*Decisions!B5),0)</f>
        <v>65000</v>
      </c>
      <c r="G15" s="50">
        <f>ROUND(Assumptions!B16*(1+IF(Decisions!D6=1,0,Assumptions!B21/12))^(4)*IF(5&gt;=Assumptions!B37,Assumptions!B38,1)*(1-Decisions!D5*Decisions!B5),0)</f>
        <v>65000</v>
      </c>
      <c r="H15" s="50">
        <f>ROUND(Assumptions!B16*(1+IF(Decisions!D6=1,0,Assumptions!B21/12))^(5)*IF(6&gt;=Assumptions!B37,Assumptions!B38,1)*(1-Decisions!D5*Decisions!B5),0)</f>
        <v>65000</v>
      </c>
      <c r="I15" s="50">
        <f>ROUND(Assumptions!B16*(1+IF(Decisions!D6=1,0,Assumptions!B21/12))^(6)*IF(7&gt;=Assumptions!B37,Assumptions!B38,1)*(1-Decisions!D5*Decisions!B5),0)</f>
        <v>65000</v>
      </c>
      <c r="J15" s="50">
        <f>ROUND(Assumptions!B16*(1+IF(Decisions!D6=1,0,Assumptions!B21/12))^(7)*IF(8&gt;=Assumptions!B37,Assumptions!B38,1)*(1-Decisions!D5*Decisions!B5),0)</f>
        <v>65000</v>
      </c>
      <c r="K15" s="50">
        <f>ROUND(Assumptions!B16*(1+IF(Decisions!D6=1,0,Assumptions!B21/12))^(8)*IF(9&gt;=Assumptions!B37,Assumptions!B38,1)*(1-Decisions!D5*Decisions!B5),0)</f>
        <v>84500</v>
      </c>
      <c r="L15" s="50">
        <f>ROUND(Assumptions!B16*(1+IF(Decisions!D6=1,0,Assumptions!B21/12))^(9)*IF(10&gt;=Assumptions!B37,Assumptions!B38,1)*(1-Decisions!D5*Decisions!B5),0)</f>
        <v>84500</v>
      </c>
      <c r="M15" s="50">
        <f>ROUND(Assumptions!B16*(1+IF(Decisions!D6=1,0,Assumptions!B21/12))^(10)*IF(11&gt;=Assumptions!B37,Assumptions!B38,1)*(1-Decisions!D5*Decisions!B5),0)</f>
        <v>84500</v>
      </c>
      <c r="N15" s="50">
        <f>ROUND(Assumptions!B16*(1+IF(Decisions!D6=1,0,Assumptions!B21/12))^(11)*IF(12&gt;=Assumptions!B37,Assumptions!B38,1)*(1-Decisions!D5*Decisions!B5),0)</f>
        <v>84500</v>
      </c>
      <c r="O15" s="50">
        <f>ROUND(Assumptions!B16*(1+IF(Decisions!D6=1,0,Assumptions!B21/12))^(12)*IF(13&gt;=Assumptions!B37,Assumptions!B38,1)*(1-Decisions!D5*Decisions!B5),0)</f>
        <v>84500</v>
      </c>
      <c r="P15" s="50">
        <f>ROUND(Assumptions!B16*(1+IF(Decisions!D6=1,0,Assumptions!B21/12))^(13)*IF(14&gt;=Assumptions!B37,Assumptions!B38,1)*(1-Decisions!D5*Decisions!B5),0)</f>
        <v>84500</v>
      </c>
      <c r="Q15" s="50">
        <f>ROUND(Assumptions!B16*(1+IF(Decisions!D6=1,0,Assumptions!B21/12))^(14)*IF(15&gt;=Assumptions!B37,Assumptions!B38,1)*(1-Decisions!D5*Decisions!B5),0)</f>
        <v>84500</v>
      </c>
      <c r="R15" s="50">
        <f>ROUND(Assumptions!B16*(1+IF(Decisions!D6=1,0,Assumptions!B21/12))^(15)*IF(16&gt;=Assumptions!B37,Assumptions!B38,1)*(1-Decisions!D5*Decisions!B5),0)</f>
        <v>84500</v>
      </c>
      <c r="S15" s="50">
        <f>ROUND(Assumptions!B16*(1+IF(Decisions!D6=1,0,Assumptions!B21/12))^(16)*IF(17&gt;=Assumptions!B37,Assumptions!B38,1)*(1-Decisions!D5*Decisions!B5),0)</f>
        <v>84500</v>
      </c>
      <c r="T15" s="50">
        <f>ROUND(Assumptions!B16*(1+IF(Decisions!D6=1,0,Assumptions!B21/12))^(17)*IF(18&gt;=Assumptions!B37,Assumptions!B38,1)*(1-Decisions!D5*Decisions!B5),0)</f>
        <v>84500</v>
      </c>
      <c r="U15" s="50">
        <f>ROUND(Assumptions!B16*(1+IF(Decisions!D6=1,0,Assumptions!B21/12))^(18)*IF(19&gt;=Assumptions!B37,Assumptions!B38,1)*(1-Decisions!D5*Decisions!B5),0)</f>
        <v>84500</v>
      </c>
      <c r="V15" s="50">
        <f>ROUND(Assumptions!B16*(1+IF(Decisions!D6=1,0,Assumptions!B21/12))^(19)*IF(20&gt;=Assumptions!B37,Assumptions!B38,1)*(1-Decisions!D5*Decisions!B5),0)</f>
        <v>84500</v>
      </c>
      <c r="W15" s="50">
        <f>ROUND(Assumptions!B16*(1+IF(Decisions!D6=1,0,Assumptions!B21/12))^(20)*IF(21&gt;=Assumptions!B37,Assumptions!B38,1)*(1-Decisions!D5*Decisions!B5),0)</f>
        <v>84500</v>
      </c>
      <c r="X15" s="50">
        <f>ROUND(Assumptions!B16*(1+IF(Decisions!D6=1,0,Assumptions!B21/12))^(21)*IF(22&gt;=Assumptions!B37,Assumptions!B38,1)*(1-Decisions!D5*Decisions!B5),0)</f>
        <v>84500</v>
      </c>
      <c r="Y15" s="50">
        <f>ROUND(Assumptions!B16*(1+IF(Decisions!D6=1,0,Assumptions!B21/12))^(22)*IF(23&gt;=Assumptions!B37,Assumptions!B38,1)*(1-Decisions!D5*Decisions!B5),0)</f>
        <v>84500</v>
      </c>
      <c r="Z15" s="50">
        <f>ROUND(Assumptions!B16*(1+IF(Decisions!D6=1,0,Assumptions!B21/12))^(23)*IF(24&gt;=Assumptions!B37,Assumptions!B38,1)*(1-Decisions!D5*Decisions!B5),0)</f>
        <v>84500</v>
      </c>
      <c r="AA15" s="51" t="s">
        <v>142</v>
      </c>
    </row>
    <row r="16" spans="1:27" ht="19.5" customHeight="1" x14ac:dyDescent="0.25">
      <c r="A16" s="52" t="s">
        <v>143</v>
      </c>
      <c r="B16" s="53" t="s">
        <v>141</v>
      </c>
      <c r="C16" s="54">
        <f>ROUND(Assumptions!B14*(1+Assumptions!B24/12)^(0),0)</f>
        <v>8000</v>
      </c>
      <c r="D16" s="54">
        <f>ROUND(Assumptions!B14*(1+Assumptions!B24/12)^(1),0)</f>
        <v>8020</v>
      </c>
      <c r="E16" s="54">
        <f>ROUND(Assumptions!B14*(1+Assumptions!B24/12)^(2),0)</f>
        <v>8040</v>
      </c>
      <c r="F16" s="54">
        <f>ROUND(Assumptions!B14*(1+Assumptions!B24/12)^(3),0)</f>
        <v>8060</v>
      </c>
      <c r="G16" s="54">
        <f>ROUND(Assumptions!B14*(1+Assumptions!B24/12)^(4),0)</f>
        <v>8080</v>
      </c>
      <c r="H16" s="54">
        <f>ROUND(Assumptions!B14*(1+Assumptions!B24/12)^(5),0)</f>
        <v>8101</v>
      </c>
      <c r="I16" s="54">
        <f>ROUND(Assumptions!B14*(1+Assumptions!B24/12)^(6),0)</f>
        <v>8121</v>
      </c>
      <c r="J16" s="54">
        <f>ROUND(Assumptions!B14*(1+Assumptions!B24/12)^(7),0)</f>
        <v>8141</v>
      </c>
      <c r="K16" s="54">
        <f>ROUND(Assumptions!B14*(1+Assumptions!B24/12)^(8),0)</f>
        <v>8161</v>
      </c>
      <c r="L16" s="54">
        <f>ROUND(Assumptions!B14*(1+Assumptions!B24/12)^(9),0)</f>
        <v>8182</v>
      </c>
      <c r="M16" s="54">
        <f>ROUND(Assumptions!B14*(1+Assumptions!B24/12)^(10),0)</f>
        <v>8202</v>
      </c>
      <c r="N16" s="54">
        <f>ROUND(Assumptions!B14*(1+Assumptions!B24/12)^(11),0)</f>
        <v>8223</v>
      </c>
      <c r="O16" s="54">
        <f>ROUND(Assumptions!B14*(1+Assumptions!B24/12)^(12),0)</f>
        <v>8243</v>
      </c>
      <c r="P16" s="54">
        <f>ROUND(Assumptions!B14*(1+Assumptions!B24/12)^(13),0)</f>
        <v>8264</v>
      </c>
      <c r="Q16" s="54">
        <f>ROUND(Assumptions!B14*(1+Assumptions!B24/12)^(14),0)</f>
        <v>8285</v>
      </c>
      <c r="R16" s="54">
        <f>ROUND(Assumptions!B14*(1+Assumptions!B24/12)^(15),0)</f>
        <v>8305</v>
      </c>
      <c r="S16" s="54">
        <f>ROUND(Assumptions!B14*(1+Assumptions!B24/12)^(16),0)</f>
        <v>8326</v>
      </c>
      <c r="T16" s="54">
        <f>ROUND(Assumptions!B14*(1+Assumptions!B24/12)^(17),0)</f>
        <v>8347</v>
      </c>
      <c r="U16" s="54">
        <f>ROUND(Assumptions!B14*(1+Assumptions!B24/12)^(18),0)</f>
        <v>8368</v>
      </c>
      <c r="V16" s="54">
        <f>ROUND(Assumptions!B14*(1+Assumptions!B24/12)^(19),0)</f>
        <v>8389</v>
      </c>
      <c r="W16" s="54">
        <f>ROUND(Assumptions!B14*(1+Assumptions!B24/12)^(20),0)</f>
        <v>8410</v>
      </c>
      <c r="X16" s="54">
        <f>ROUND(Assumptions!B14*(1+Assumptions!B24/12)^(21),0)</f>
        <v>8431</v>
      </c>
      <c r="Y16" s="54">
        <f>ROUND(Assumptions!B14*(1+Assumptions!B24/12)^(22),0)</f>
        <v>8452</v>
      </c>
      <c r="Z16" s="54">
        <f>ROUND(Assumptions!B14*(1+Assumptions!B24/12)^(23),0)</f>
        <v>8473</v>
      </c>
      <c r="AA16" s="55" t="s">
        <v>144</v>
      </c>
    </row>
    <row r="17" spans="1:27" ht="19.5" customHeight="1" x14ac:dyDescent="0.25">
      <c r="A17" s="48" t="s">
        <v>145</v>
      </c>
      <c r="B17" s="49" t="s">
        <v>141</v>
      </c>
      <c r="C17" s="50">
        <f>ROUND(Assumptions!B15*(1+Assumptions!B24/12)^(0),0)</f>
        <v>5000</v>
      </c>
      <c r="D17" s="50">
        <f>ROUND(Assumptions!B15*(1+Assumptions!B24/12)^(1),0)</f>
        <v>5013</v>
      </c>
      <c r="E17" s="50">
        <f>ROUND(Assumptions!B15*(1+Assumptions!B24/12)^(2),0)</f>
        <v>5025</v>
      </c>
      <c r="F17" s="50">
        <f>ROUND(Assumptions!B15*(1+Assumptions!B24/12)^(3),0)</f>
        <v>5038</v>
      </c>
      <c r="G17" s="50">
        <f>ROUND(Assumptions!B15*(1+Assumptions!B24/12)^(4),0)</f>
        <v>5050</v>
      </c>
      <c r="H17" s="50">
        <f>ROUND(Assumptions!B15*(1+Assumptions!B24/12)^(5),0)</f>
        <v>5063</v>
      </c>
      <c r="I17" s="50">
        <f>ROUND(Assumptions!B15*(1+Assumptions!B24/12)^(6),0)</f>
        <v>5075</v>
      </c>
      <c r="J17" s="50">
        <f>ROUND(Assumptions!B15*(1+Assumptions!B24/12)^(7),0)</f>
        <v>5088</v>
      </c>
      <c r="K17" s="50">
        <f>ROUND(Assumptions!B15*(1+Assumptions!B24/12)^(8),0)</f>
        <v>5101</v>
      </c>
      <c r="L17" s="50">
        <f>ROUND(Assumptions!B15*(1+Assumptions!B24/12)^(9),0)</f>
        <v>5114</v>
      </c>
      <c r="M17" s="50">
        <f>ROUND(Assumptions!B15*(1+Assumptions!B24/12)^(10),0)</f>
        <v>5126</v>
      </c>
      <c r="N17" s="50">
        <f>ROUND(Assumptions!B15*(1+Assumptions!B24/12)^(11),0)</f>
        <v>5139</v>
      </c>
      <c r="O17" s="50">
        <f>ROUND(Assumptions!B15*(1+Assumptions!B24/12)^(12),0)</f>
        <v>5152</v>
      </c>
      <c r="P17" s="50">
        <f>ROUND(Assumptions!B15*(1+Assumptions!B24/12)^(13),0)</f>
        <v>5165</v>
      </c>
      <c r="Q17" s="50">
        <f>ROUND(Assumptions!B15*(1+Assumptions!B24/12)^(14),0)</f>
        <v>5178</v>
      </c>
      <c r="R17" s="50">
        <f>ROUND(Assumptions!B15*(1+Assumptions!B24/12)^(15),0)</f>
        <v>5191</v>
      </c>
      <c r="S17" s="50">
        <f>ROUND(Assumptions!B15*(1+Assumptions!B24/12)^(16),0)</f>
        <v>5204</v>
      </c>
      <c r="T17" s="50">
        <f>ROUND(Assumptions!B15*(1+Assumptions!B24/12)^(17),0)</f>
        <v>5217</v>
      </c>
      <c r="U17" s="50">
        <f>ROUND(Assumptions!B15*(1+Assumptions!B24/12)^(18),0)</f>
        <v>5230</v>
      </c>
      <c r="V17" s="50">
        <f>ROUND(Assumptions!B15*(1+Assumptions!B24/12)^(19),0)</f>
        <v>5243</v>
      </c>
      <c r="W17" s="50">
        <f>ROUND(Assumptions!B15*(1+Assumptions!B24/12)^(20),0)</f>
        <v>5256</v>
      </c>
      <c r="X17" s="50">
        <f>ROUND(Assumptions!B15*(1+Assumptions!B24/12)^(21),0)</f>
        <v>5269</v>
      </c>
      <c r="Y17" s="50">
        <f>ROUND(Assumptions!B15*(1+Assumptions!B24/12)^(22),0)</f>
        <v>5282</v>
      </c>
      <c r="Z17" s="50">
        <f>ROUND(Assumptions!B15*(1+Assumptions!B24/12)^(23),0)</f>
        <v>5296</v>
      </c>
      <c r="AA17" s="51" t="s">
        <v>146</v>
      </c>
    </row>
    <row r="18" spans="1:27" ht="19.5" customHeight="1" x14ac:dyDescent="0.25">
      <c r="A18" s="52" t="s">
        <v>147</v>
      </c>
      <c r="B18" s="53" t="s">
        <v>141</v>
      </c>
      <c r="C18" s="54">
        <f>ROUND(Assumptions!B17*(1-Decisions!D9*Decisions!B9),0)</f>
        <v>10000</v>
      </c>
      <c r="D18" s="54">
        <f>ROUND(Assumptions!B17*(1-Decisions!D9*Decisions!B9),0)</f>
        <v>10000</v>
      </c>
      <c r="E18" s="54">
        <f>ROUND(Assumptions!B17*(1-Decisions!D9*Decisions!B9),0)</f>
        <v>10000</v>
      </c>
      <c r="F18" s="54">
        <f>ROUND(Assumptions!B17*(1-Decisions!D9*Decisions!B9),0)</f>
        <v>10000</v>
      </c>
      <c r="G18" s="54">
        <f>ROUND(Assumptions!B17*(1-Decisions!D9*Decisions!B9),0)</f>
        <v>10000</v>
      </c>
      <c r="H18" s="54">
        <f>ROUND(Assumptions!B17*(1-Decisions!D9*Decisions!B9),0)</f>
        <v>10000</v>
      </c>
      <c r="I18" s="54">
        <f>ROUND(Assumptions!B17*(1-Decisions!D9*Decisions!B9),0)</f>
        <v>10000</v>
      </c>
      <c r="J18" s="54">
        <f>ROUND(Assumptions!B17*(1-Decisions!D9*Decisions!B9),0)</f>
        <v>10000</v>
      </c>
      <c r="K18" s="54">
        <f>ROUND(Assumptions!B17*(1-Decisions!D9*Decisions!B9),0)</f>
        <v>10000</v>
      </c>
      <c r="L18" s="54">
        <f>ROUND(Assumptions!B17*(1-Decisions!D9*Decisions!B9),0)</f>
        <v>10000</v>
      </c>
      <c r="M18" s="54">
        <f>ROUND(Assumptions!B17*(1-Decisions!D9*Decisions!B9),0)</f>
        <v>10000</v>
      </c>
      <c r="N18" s="54">
        <f>ROUND(Assumptions!B17*(1-Decisions!D9*Decisions!B9),0)</f>
        <v>10000</v>
      </c>
      <c r="O18" s="54">
        <f>ROUND(Assumptions!B17*(1-Decisions!D9*Decisions!B9),0)</f>
        <v>10000</v>
      </c>
      <c r="P18" s="54">
        <f>ROUND(Assumptions!B17*(1-Decisions!D9*Decisions!B9),0)</f>
        <v>10000</v>
      </c>
      <c r="Q18" s="54">
        <f>ROUND(Assumptions!B17*(1-Decisions!D9*Decisions!B9),0)</f>
        <v>10000</v>
      </c>
      <c r="R18" s="54">
        <f>ROUND(Assumptions!B17*(1-Decisions!D9*Decisions!B9),0)</f>
        <v>10000</v>
      </c>
      <c r="S18" s="54">
        <f>ROUND(Assumptions!B17*(1-Decisions!D9*Decisions!B9),0)</f>
        <v>10000</v>
      </c>
      <c r="T18" s="54">
        <f>ROUND(Assumptions!B17*(1-Decisions!D9*Decisions!B9),0)</f>
        <v>10000</v>
      </c>
      <c r="U18" s="54">
        <f>ROUND(Assumptions!B17*(1-Decisions!D9*Decisions!B9),0)</f>
        <v>10000</v>
      </c>
      <c r="V18" s="54">
        <f>ROUND(Assumptions!B17*(1-Decisions!D9*Decisions!B9),0)</f>
        <v>10000</v>
      </c>
      <c r="W18" s="54">
        <f>ROUND(Assumptions!B17*(1-Decisions!D9*Decisions!B9),0)</f>
        <v>10000</v>
      </c>
      <c r="X18" s="54">
        <f>ROUND(Assumptions!B17*(1-Decisions!D9*Decisions!B9),0)</f>
        <v>10000</v>
      </c>
      <c r="Y18" s="54">
        <f>ROUND(Assumptions!B17*(1-Decisions!D9*Decisions!B9),0)</f>
        <v>10000</v>
      </c>
      <c r="Z18" s="54">
        <f>ROUND(Assumptions!B17*(1-Decisions!D9*Decisions!B9),0)</f>
        <v>10000</v>
      </c>
      <c r="AA18" s="55" t="s">
        <v>148</v>
      </c>
    </row>
    <row r="19" spans="1:27" ht="19.5" customHeight="1" x14ac:dyDescent="0.25">
      <c r="A19" s="48" t="s">
        <v>149</v>
      </c>
      <c r="B19" s="49" t="s">
        <v>141</v>
      </c>
      <c r="C19" s="50">
        <f>MAX(Assumptions!B18,ROUND(C12*Assumptions!B31,0))</f>
        <v>7000</v>
      </c>
      <c r="D19" s="50">
        <f>MAX(Assumptions!B18,ROUND(D12*Assumptions!B31,0))</f>
        <v>7000</v>
      </c>
      <c r="E19" s="50">
        <f>MAX(Assumptions!B18,ROUND(E12*Assumptions!B31,0))</f>
        <v>7000</v>
      </c>
      <c r="F19" s="50">
        <f>MAX(Assumptions!B18,ROUND(F12*Assumptions!B31,0))</f>
        <v>7331</v>
      </c>
      <c r="G19" s="50">
        <f>MAX(Assumptions!B18,ROUND(G12*Assumptions!B31,0))</f>
        <v>7814</v>
      </c>
      <c r="H19" s="50">
        <f>MAX(Assumptions!B18,ROUND(H12*Assumptions!B31,0))</f>
        <v>8319</v>
      </c>
      <c r="I19" s="50">
        <f>MAX(Assumptions!B18,ROUND(I12*Assumptions!B31,0))</f>
        <v>8025</v>
      </c>
      <c r="J19" s="50">
        <f>MAX(Assumptions!B18,ROUND(J12*Assumptions!B31,0))</f>
        <v>7799</v>
      </c>
      <c r="K19" s="50">
        <f>MAX(Assumptions!B18,ROUND(K12*Assumptions!B31,0))</f>
        <v>7639</v>
      </c>
      <c r="L19" s="50">
        <f>MAX(Assumptions!B18,ROUND(L12*Assumptions!B31,0))</f>
        <v>7536</v>
      </c>
      <c r="M19" s="50">
        <f>MAX(Assumptions!B18,ROUND(M12*Assumptions!B31,0))</f>
        <v>7484</v>
      </c>
      <c r="N19" s="50">
        <f>MAX(Assumptions!B18,ROUND(N12*Assumptions!B31,0))</f>
        <v>7483</v>
      </c>
      <c r="O19" s="50">
        <f>MAX(Assumptions!B18,ROUND(O12*Assumptions!B31,0))</f>
        <v>7525</v>
      </c>
      <c r="P19" s="50">
        <f>MAX(Assumptions!B18,ROUND(P12*Assumptions!B31,0))</f>
        <v>7612</v>
      </c>
      <c r="Q19" s="50">
        <f>MAX(Assumptions!B18,ROUND(Q12*Assumptions!B31,0))</f>
        <v>7738</v>
      </c>
      <c r="R19" s="50">
        <f>MAX(Assumptions!B18,ROUND(R12*Assumptions!B31,0))</f>
        <v>7899</v>
      </c>
      <c r="S19" s="50">
        <f>MAX(Assumptions!B18,ROUND(S12*Assumptions!B31,0))</f>
        <v>8095</v>
      </c>
      <c r="T19" s="50">
        <f>MAX(Assumptions!B18,ROUND(T12*Assumptions!B31,0))</f>
        <v>8322</v>
      </c>
      <c r="U19" s="50">
        <f>MAX(Assumptions!B18,ROUND(U12*Assumptions!B31,0))</f>
        <v>8583</v>
      </c>
      <c r="V19" s="50">
        <f>MAX(Assumptions!B18,ROUND(V12*Assumptions!B31,0))</f>
        <v>8873</v>
      </c>
      <c r="W19" s="50">
        <f>MAX(Assumptions!B18,ROUND(W12*Assumptions!B31,0))</f>
        <v>9194</v>
      </c>
      <c r="X19" s="50">
        <f>MAX(Assumptions!B18,ROUND(X12*Assumptions!B31,0))</f>
        <v>9549</v>
      </c>
      <c r="Y19" s="50">
        <f>MAX(Assumptions!B18,ROUND(Y12*Assumptions!B31,0))</f>
        <v>9932</v>
      </c>
      <c r="Z19" s="50">
        <f>MAX(Assumptions!B18,ROUND(Z12*Assumptions!B31,0))</f>
        <v>10346</v>
      </c>
      <c r="AA19" s="51" t="s">
        <v>150</v>
      </c>
    </row>
    <row r="20" spans="1:27" ht="19.5" customHeight="1" x14ac:dyDescent="0.25">
      <c r="A20" s="52" t="s">
        <v>151</v>
      </c>
      <c r="B20" s="53" t="s">
        <v>141</v>
      </c>
      <c r="C20" s="54">
        <f>ROUND(Assumptions!B19*IF(1&gt;=Assumptions!B39,Assumptions!B40,1)*(1-Decisions!D4*Decisions!B4),0)</f>
        <v>6500</v>
      </c>
      <c r="D20" s="54">
        <f>ROUND(Assumptions!B19*IF(2&gt;=Assumptions!B39,Assumptions!B40,1)*(1-Decisions!D4*Decisions!B4),0)</f>
        <v>6500</v>
      </c>
      <c r="E20" s="54">
        <f>ROUND(Assumptions!B19*IF(3&gt;=Assumptions!B39,Assumptions!B40,1)*(1-Decisions!D4*Decisions!B4),0)</f>
        <v>6500</v>
      </c>
      <c r="F20" s="54">
        <f>ROUND(Assumptions!B19*IF(4&gt;=Assumptions!B39,Assumptions!B40,1)*(1-Decisions!D4*Decisions!B4),0)</f>
        <v>6500</v>
      </c>
      <c r="G20" s="54">
        <f>ROUND(Assumptions!B19*IF(5&gt;=Assumptions!B39,Assumptions!B40,1)*(1-Decisions!D4*Decisions!B4),0)</f>
        <v>6500</v>
      </c>
      <c r="H20" s="54">
        <f>ROUND(Assumptions!B19*IF(6&gt;=Assumptions!B39,Assumptions!B40,1)*(1-Decisions!D4*Decisions!B4),0)</f>
        <v>6500</v>
      </c>
      <c r="I20" s="54">
        <f>ROUND(Assumptions!B19*IF(7&gt;=Assumptions!B39,Assumptions!B40,1)*(1-Decisions!D4*Decisions!B4),0)</f>
        <v>6500</v>
      </c>
      <c r="J20" s="54">
        <f>ROUND(Assumptions!B19*IF(8&gt;=Assumptions!B39,Assumptions!B40,1)*(1-Decisions!D4*Decisions!B4),0)</f>
        <v>6500</v>
      </c>
      <c r="K20" s="54">
        <f>ROUND(Assumptions!B19*IF(9&gt;=Assumptions!B39,Assumptions!B40,1)*(1-Decisions!D4*Decisions!B4),0)</f>
        <v>6500</v>
      </c>
      <c r="L20" s="54">
        <f>ROUND(Assumptions!B19*IF(10&gt;=Assumptions!B39,Assumptions!B40,1)*(1-Decisions!D4*Decisions!B4),0)</f>
        <v>6500</v>
      </c>
      <c r="M20" s="54">
        <f>ROUND(Assumptions!B19*IF(11&gt;=Assumptions!B39,Assumptions!B40,1)*(1-Decisions!D4*Decisions!B4),0)</f>
        <v>9100</v>
      </c>
      <c r="N20" s="54">
        <f>ROUND(Assumptions!B19*IF(12&gt;=Assumptions!B39,Assumptions!B40,1)*(1-Decisions!D4*Decisions!B4),0)</f>
        <v>9100</v>
      </c>
      <c r="O20" s="54">
        <f>ROUND(Assumptions!B19*IF(13&gt;=Assumptions!B39,Assumptions!B40,1)*(1-Decisions!D4*Decisions!B4),0)</f>
        <v>9100</v>
      </c>
      <c r="P20" s="54">
        <f>ROUND(Assumptions!B19*IF(14&gt;=Assumptions!B39,Assumptions!B40,1)*(1-Decisions!D4*Decisions!B4),0)</f>
        <v>9100</v>
      </c>
      <c r="Q20" s="54">
        <f>ROUND(Assumptions!B19*IF(15&gt;=Assumptions!B39,Assumptions!B40,1)*(1-Decisions!D4*Decisions!B4),0)</f>
        <v>9100</v>
      </c>
      <c r="R20" s="54">
        <f>ROUND(Assumptions!B19*IF(16&gt;=Assumptions!B39,Assumptions!B40,1)*(1-Decisions!D4*Decisions!B4),0)</f>
        <v>9100</v>
      </c>
      <c r="S20" s="54">
        <f>ROUND(Assumptions!B19*IF(17&gt;=Assumptions!B39,Assumptions!B40,1)*(1-Decisions!D4*Decisions!B4),0)</f>
        <v>9100</v>
      </c>
      <c r="T20" s="54">
        <f>ROUND(Assumptions!B19*IF(18&gt;=Assumptions!B39,Assumptions!B40,1)*(1-Decisions!D4*Decisions!B4),0)</f>
        <v>9100</v>
      </c>
      <c r="U20" s="54">
        <f>ROUND(Assumptions!B19*IF(19&gt;=Assumptions!B39,Assumptions!B40,1)*(1-Decisions!D4*Decisions!B4),0)</f>
        <v>9100</v>
      </c>
      <c r="V20" s="54">
        <f>ROUND(Assumptions!B19*IF(20&gt;=Assumptions!B39,Assumptions!B40,1)*(1-Decisions!D4*Decisions!B4),0)</f>
        <v>9100</v>
      </c>
      <c r="W20" s="54">
        <f>ROUND(Assumptions!B19*IF(21&gt;=Assumptions!B39,Assumptions!B40,1)*(1-Decisions!D4*Decisions!B4),0)</f>
        <v>9100</v>
      </c>
      <c r="X20" s="54">
        <f>ROUND(Assumptions!B19*IF(22&gt;=Assumptions!B39,Assumptions!B40,1)*(1-Decisions!D4*Decisions!B4),0)</f>
        <v>9100</v>
      </c>
      <c r="Y20" s="54">
        <f>ROUND(Assumptions!B19*IF(23&gt;=Assumptions!B39,Assumptions!B40,1)*(1-Decisions!D4*Decisions!B4),0)</f>
        <v>9100</v>
      </c>
      <c r="Z20" s="54">
        <f>ROUND(Assumptions!B19*IF(24&gt;=Assumptions!B39,Assumptions!B40,1)*(1-Decisions!D4*Decisions!B4),0)</f>
        <v>9100</v>
      </c>
      <c r="AA20" s="55" t="s">
        <v>152</v>
      </c>
    </row>
    <row r="21" spans="1:27" ht="19.5" customHeight="1" x14ac:dyDescent="0.25">
      <c r="A21" s="48" t="s">
        <v>153</v>
      </c>
      <c r="B21" s="49" t="s">
        <v>141</v>
      </c>
      <c r="C21" s="50">
        <f>ROUND(C12*Assumptions!B20,0)</f>
        <v>3600</v>
      </c>
      <c r="D21" s="50">
        <f>ROUND(D12*Assumptions!B20,0)</f>
        <v>3856</v>
      </c>
      <c r="E21" s="50">
        <f>ROUND(E12*Assumptions!B20,0)</f>
        <v>4122</v>
      </c>
      <c r="F21" s="50">
        <f>ROUND(F12*Assumptions!B20,0)</f>
        <v>4398</v>
      </c>
      <c r="G21" s="50">
        <f>ROUND(G12*Assumptions!B20,0)</f>
        <v>4688</v>
      </c>
      <c r="H21" s="50">
        <f>ROUND(H12*Assumptions!B20,0)</f>
        <v>4992</v>
      </c>
      <c r="I21" s="50">
        <f>ROUND(I12*Assumptions!B20,0)</f>
        <v>4815</v>
      </c>
      <c r="J21" s="50">
        <f>ROUND(J12*Assumptions!B20,0)</f>
        <v>4679</v>
      </c>
      <c r="K21" s="50">
        <f>ROUND(K12*Assumptions!B20,0)</f>
        <v>4583</v>
      </c>
      <c r="L21" s="50">
        <f>ROUND(L12*Assumptions!B20,0)</f>
        <v>4522</v>
      </c>
      <c r="M21" s="50">
        <f>ROUND(M12*Assumptions!B20,0)</f>
        <v>4491</v>
      </c>
      <c r="N21" s="50">
        <f>ROUND(N12*Assumptions!B20,0)</f>
        <v>4490</v>
      </c>
      <c r="O21" s="50">
        <f>ROUND(O12*Assumptions!B20,0)</f>
        <v>4515</v>
      </c>
      <c r="P21" s="50">
        <f>ROUND(P12*Assumptions!B20,0)</f>
        <v>4567</v>
      </c>
      <c r="Q21" s="50">
        <f>ROUND(Q12*Assumptions!B20,0)</f>
        <v>4643</v>
      </c>
      <c r="R21" s="50">
        <f>ROUND(R12*Assumptions!B20,0)</f>
        <v>4739</v>
      </c>
      <c r="S21" s="50">
        <f>ROUND(S12*Assumptions!B20,0)</f>
        <v>4857</v>
      </c>
      <c r="T21" s="50">
        <f>ROUND(T12*Assumptions!B20,0)</f>
        <v>4993</v>
      </c>
      <c r="U21" s="50">
        <f>ROUND(U12*Assumptions!B20,0)</f>
        <v>5150</v>
      </c>
      <c r="V21" s="50">
        <f>ROUND(V12*Assumptions!B20,0)</f>
        <v>5324</v>
      </c>
      <c r="W21" s="50">
        <f>ROUND(W12*Assumptions!B20,0)</f>
        <v>5517</v>
      </c>
      <c r="X21" s="50">
        <f>ROUND(X12*Assumptions!B20,0)</f>
        <v>5729</v>
      </c>
      <c r="Y21" s="50">
        <f>ROUND(Y12*Assumptions!B20,0)</f>
        <v>5959</v>
      </c>
      <c r="Z21" s="50">
        <f>ROUND(Z12*Assumptions!B20,0)</f>
        <v>6208</v>
      </c>
      <c r="AA21" s="51" t="s">
        <v>154</v>
      </c>
    </row>
    <row r="22" spans="1:27" ht="19.5" customHeight="1" x14ac:dyDescent="0.25">
      <c r="A22" s="52" t="s">
        <v>155</v>
      </c>
      <c r="B22" s="53" t="s">
        <v>141</v>
      </c>
      <c r="C22" s="54">
        <f>ROUND(Assumptions!B25*MAX(0,C12-(C15+C16+C17+C18+C19+C20+C21)),0)</f>
        <v>2980</v>
      </c>
      <c r="D22" s="54">
        <f>ROUND(Assumptions!B25*MAX(0,D12-(D15+D16+D17+D18+D19+D20+D21)),0)</f>
        <v>4627</v>
      </c>
      <c r="E22" s="54">
        <f>ROUND(Assumptions!B25*MAX(0,E12-(E15+E16+E17+E18+E19+E20+E21)),0)</f>
        <v>6343</v>
      </c>
      <c r="F22" s="54">
        <f>ROUND(Assumptions!B25*MAX(0,F12-(F15+F16+F17+F18+F19+F20+F21)),0)</f>
        <v>8058</v>
      </c>
      <c r="G22" s="54">
        <f>ROUND(Assumptions!B25*MAX(0,G12-(G15+G16+G17+G18+G19+G20+G21)),0)</f>
        <v>9830</v>
      </c>
      <c r="H22" s="54">
        <f>ROUND(Assumptions!B25*MAX(0,H12-(H15+H16+H17+H18+H19+H20+H21)),0)</f>
        <v>11682</v>
      </c>
      <c r="I22" s="54">
        <f>ROUND(Assumptions!B25*MAX(0,I12-(I15+I16+I17+I18+I19+I20+I21)),0)</f>
        <v>10593</v>
      </c>
      <c r="J22" s="54">
        <f>ROUND(Assumptions!B25*MAX(0,J12-(J15+J16+J17+J18+J19+J20+J21)),0)</f>
        <v>9755</v>
      </c>
      <c r="K22" s="54">
        <f>ROUND(Assumptions!B25*MAX(0,K12-(K15+K16+K17+K18+K19+K20+K21)),0)</f>
        <v>5258</v>
      </c>
      <c r="L22" s="54">
        <f>ROUND(Assumptions!B25*MAX(0,L12-(L15+L16+L17+L18+L19+L20+L21)),0)</f>
        <v>4873</v>
      </c>
      <c r="M22" s="54">
        <f>ROUND(Assumptions!B25*MAX(0,M12-(M15+M16+M17+M18+M19+M20+M21)),0)</f>
        <v>4156</v>
      </c>
      <c r="N22" s="54">
        <f>ROUND(Assumptions!B25*MAX(0,N12-(N15+N16+N17+N18+N19+N20+N21)),0)</f>
        <v>4143</v>
      </c>
      <c r="O22" s="54">
        <f>ROUND(Assumptions!B25*MAX(0,O12-(O15+O16+O17+O18+O19+O20+O21)),0)</f>
        <v>4294</v>
      </c>
      <c r="P22" s="54">
        <f>ROUND(Assumptions!B25*MAX(0,P12-(P15+P16+P17+P18+P19+P20+P21)),0)</f>
        <v>4607</v>
      </c>
      <c r="Q22" s="54">
        <f>ROUND(Assumptions!B25*MAX(0,Q12-(Q15+Q16+Q17+Q18+Q19+Q20+Q21)),0)</f>
        <v>5064</v>
      </c>
      <c r="R22" s="54">
        <f>ROUND(Assumptions!B25*MAX(0,R12-(R15+R16+R17+R18+R19+R20+R21)),0)</f>
        <v>5648</v>
      </c>
      <c r="S22" s="54">
        <f>ROUND(Assumptions!B25*MAX(0,S12-(S15+S16+S17+S18+S19+S20+S21)),0)</f>
        <v>6363</v>
      </c>
      <c r="T22" s="54">
        <f>ROUND(Assumptions!B25*MAX(0,T12-(T15+T16+T17+T18+T19+T20+T21)),0)</f>
        <v>7194</v>
      </c>
      <c r="U22" s="54">
        <f>ROUND(Assumptions!B25*MAX(0,U12-(U15+U16+U17+U18+U19+U20+U21)),0)</f>
        <v>8147</v>
      </c>
      <c r="V22" s="54">
        <f>ROUND(Assumptions!B25*MAX(0,V12-(V15+V16+V17+V18+V19+V20+V21)),0)</f>
        <v>9207</v>
      </c>
      <c r="W22" s="54">
        <f>ROUND(Assumptions!B25*MAX(0,W12-(W15+W16+W17+W18+W19+W20+W21)),0)</f>
        <v>10382</v>
      </c>
      <c r="X22" s="54">
        <f>ROUND(Assumptions!B25*MAX(0,X12-(X15+X16+X17+X18+X19+X20+X21)),0)</f>
        <v>11679</v>
      </c>
      <c r="Y22" s="54">
        <f>ROUND(Assumptions!B25*MAX(0,Y12-(Y15+Y16+Y17+Y18+Y19+Y20+Y21)),0)</f>
        <v>13082</v>
      </c>
      <c r="Z22" s="54">
        <f>ROUND(Assumptions!B25*MAX(0,Z12-(Z15+Z16+Z17+Z18+Z19+Z20+Z21)),0)</f>
        <v>14599</v>
      </c>
      <c r="AA22" s="55" t="s">
        <v>156</v>
      </c>
    </row>
    <row r="23" spans="1:27" ht="19.5" customHeight="1" x14ac:dyDescent="0.25">
      <c r="A23" s="56" t="s">
        <v>157</v>
      </c>
      <c r="B23" s="57" t="s">
        <v>141</v>
      </c>
      <c r="C23" s="58">
        <f t="shared" ref="C23:Z23" si="1">C15+C16+C17+C18+C19+C20+C21+C22</f>
        <v>108080</v>
      </c>
      <c r="D23" s="58">
        <f t="shared" si="1"/>
        <v>110016</v>
      </c>
      <c r="E23" s="58">
        <f t="shared" si="1"/>
        <v>112030</v>
      </c>
      <c r="F23" s="58">
        <f t="shared" si="1"/>
        <v>114385</v>
      </c>
      <c r="G23" s="58">
        <f t="shared" si="1"/>
        <v>116962</v>
      </c>
      <c r="H23" s="58">
        <f t="shared" si="1"/>
        <v>119657</v>
      </c>
      <c r="I23" s="58">
        <f t="shared" si="1"/>
        <v>118129</v>
      </c>
      <c r="J23" s="58">
        <f t="shared" si="1"/>
        <v>116962</v>
      </c>
      <c r="K23" s="58">
        <f t="shared" si="1"/>
        <v>131742</v>
      </c>
      <c r="L23" s="58">
        <f t="shared" si="1"/>
        <v>131227</v>
      </c>
      <c r="M23" s="58">
        <f t="shared" si="1"/>
        <v>133059</v>
      </c>
      <c r="N23" s="58">
        <f t="shared" si="1"/>
        <v>133078</v>
      </c>
      <c r="O23" s="58">
        <f t="shared" si="1"/>
        <v>133329</v>
      </c>
      <c r="P23" s="58">
        <f t="shared" si="1"/>
        <v>133815</v>
      </c>
      <c r="Q23" s="58">
        <f t="shared" si="1"/>
        <v>134508</v>
      </c>
      <c r="R23" s="58">
        <f t="shared" si="1"/>
        <v>135382</v>
      </c>
      <c r="S23" s="58">
        <f t="shared" si="1"/>
        <v>136445</v>
      </c>
      <c r="T23" s="58">
        <f t="shared" si="1"/>
        <v>137673</v>
      </c>
      <c r="U23" s="58">
        <f t="shared" si="1"/>
        <v>139078</v>
      </c>
      <c r="V23" s="58">
        <f t="shared" si="1"/>
        <v>140636</v>
      </c>
      <c r="W23" s="58">
        <f t="shared" si="1"/>
        <v>142359</v>
      </c>
      <c r="X23" s="58">
        <f t="shared" si="1"/>
        <v>144257</v>
      </c>
      <c r="Y23" s="58">
        <f t="shared" si="1"/>
        <v>146307</v>
      </c>
      <c r="Z23" s="58">
        <f t="shared" si="1"/>
        <v>148522</v>
      </c>
      <c r="AA23" s="59" t="s">
        <v>158</v>
      </c>
    </row>
    <row r="24" spans="1:27" ht="24" customHeight="1" x14ac:dyDescent="0.25">
      <c r="A24" s="47" t="s">
        <v>159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1:27" ht="19.5" customHeight="1" x14ac:dyDescent="0.25">
      <c r="A25" s="61" t="s">
        <v>160</v>
      </c>
      <c r="B25" s="62"/>
      <c r="C25" s="63">
        <f>C13-C23+IF(Decisions!D11=1,IF(AND(ISNUMBER(Decisions!F11),INT(Decisions!F11)=Decisions!F11,Decisions!F11&gt;=1,Decisions!F11&lt;=24,1=Decisions!F11),Decisions!B11,0),0)</f>
        <v>-108080</v>
      </c>
      <c r="D25" s="63">
        <f>D13-D23+IF(Decisions!D11=1,IF(AND(ISNUMBER(Decisions!F11),INT(Decisions!F11)=Decisions!F11,Decisions!F11&gt;=1,Decisions!F11&lt;=24,2=Decisions!F11),Decisions!B11,0),0)</f>
        <v>9984</v>
      </c>
      <c r="E25" s="63">
        <f>E13-E23+IF(Decisions!D11=1,IF(AND(ISNUMBER(Decisions!F11),INT(Decisions!F11)=Decisions!F11,Decisions!F11&gt;=1,Decisions!F11&lt;=24,3=Decisions!F11),Decisions!B11,0),0)</f>
        <v>16495</v>
      </c>
      <c r="F25" s="63">
        <f>F13-F23+IF(Decisions!D11=1,IF(AND(ISNUMBER(Decisions!F11),INT(Decisions!F11)=Decisions!F11,Decisions!F11&gt;=1,Decisions!F11&lt;=24,4=Decisions!F11),Decisions!B11,0),0)</f>
        <v>23016</v>
      </c>
      <c r="G25" s="63">
        <f>G13-G23+IF(Decisions!D11=1,IF(AND(ISNUMBER(Decisions!F11),INT(Decisions!F11)=Decisions!F11,Decisions!F11&gt;=1,Decisions!F11&lt;=24,5=Decisions!F11),Decisions!B11,0),0)</f>
        <v>29654</v>
      </c>
      <c r="H25" s="63">
        <f>H13-H23+IF(Decisions!D11=1,IF(AND(ISNUMBER(Decisions!F11),INT(Decisions!F11)=Decisions!F11,Decisions!F11&gt;=1,Decisions!F11&lt;=24,6=Decisions!F11),Decisions!B11,0),0)</f>
        <v>36626</v>
      </c>
      <c r="I25" s="63">
        <f>I13-I23+IF(Decisions!D11=1,IF(AND(ISNUMBER(Decisions!F11),INT(Decisions!F11)=Decisions!F11,Decisions!F11&gt;=1,Decisions!F11&lt;=24,7=Decisions!F11),Decisions!B11,0),0)</f>
        <v>48258</v>
      </c>
      <c r="J25" s="63">
        <f>J13-J23+IF(Decisions!D11=1,IF(AND(ISNUMBER(Decisions!F11),INT(Decisions!F11)=Decisions!F11,Decisions!F11&gt;=1,Decisions!F11&lt;=24,8=Decisions!F11),Decisions!B11,0),0)</f>
        <v>43539</v>
      </c>
      <c r="K25" s="63">
        <f>K13-K23+IF(Decisions!D11=1,IF(AND(ISNUMBER(Decisions!F11),INT(Decisions!F11)=Decisions!F11,Decisions!F11&gt;=1,Decisions!F11&lt;=24,9=Decisions!F11),Decisions!B11,0),0)</f>
        <v>24239</v>
      </c>
      <c r="L25" s="63">
        <f>L13-L23+IF(Decisions!D11=1,IF(AND(ISNUMBER(Decisions!F11),INT(Decisions!F11)=Decisions!F11,Decisions!F11&gt;=1,Decisions!F11&lt;=24,10=Decisions!F11),Decisions!B11,0),0)</f>
        <v>21546</v>
      </c>
      <c r="M25" s="63">
        <f>M13-M23+IF(Decisions!D11=1,IF(AND(ISNUMBER(Decisions!F11),INT(Decisions!F11)=Decisions!F11,Decisions!F11&gt;=1,Decisions!F11&lt;=24,11=Decisions!F11),Decisions!B11,0),0)</f>
        <v>17661</v>
      </c>
      <c r="N25" s="63">
        <f>N13-N23+IF(Decisions!D11=1,IF(AND(ISNUMBER(Decisions!F11),INT(Decisions!F11)=Decisions!F11,Decisions!F11&gt;=1,Decisions!F11&lt;=24,12=Decisions!F11),Decisions!B11,0),0)</f>
        <v>16606</v>
      </c>
      <c r="O25" s="63">
        <f>O13-O23+IF(Decisions!D11=1,IF(AND(ISNUMBER(Decisions!F11),INT(Decisions!F11)=Decisions!F11,Decisions!F11&gt;=1,Decisions!F11&lt;=24,13=Decisions!F11),Decisions!B11,0),0)</f>
        <v>16323</v>
      </c>
      <c r="P25" s="63">
        <f>P13-P23+IF(Decisions!D11=1,IF(AND(ISNUMBER(Decisions!F11),INT(Decisions!F11)=Decisions!F11,Decisions!F11&gt;=1,Decisions!F11&lt;=24,14=Decisions!F11),Decisions!B11,0),0)</f>
        <v>16689</v>
      </c>
      <c r="Q25" s="63">
        <f>Q13-Q23+IF(Decisions!D11=1,IF(AND(ISNUMBER(Decisions!F11),INT(Decisions!F11)=Decisions!F11,Decisions!F11&gt;=1,Decisions!F11&lt;=24,15=Decisions!F11),Decisions!B11,0),0)</f>
        <v>17736</v>
      </c>
      <c r="R25" s="63">
        <f>R13-R23+IF(Decisions!D11=1,IF(AND(ISNUMBER(Decisions!F11),INT(Decisions!F11)=Decisions!F11,Decisions!F11&gt;=1,Decisions!F11&lt;=24,16=Decisions!F11),Decisions!B11,0),0)</f>
        <v>19383</v>
      </c>
      <c r="S25" s="63">
        <f>S13-S23+IF(Decisions!D11=1,IF(AND(ISNUMBER(Decisions!F11),INT(Decisions!F11)=Decisions!F11,Decisions!F11&gt;=1,Decisions!F11&lt;=24,17=Decisions!F11),Decisions!B11,0),0)</f>
        <v>21528</v>
      </c>
      <c r="T25" s="63">
        <f>T13-T23+IF(Decisions!D11=1,IF(AND(ISNUMBER(Decisions!F11),INT(Decisions!F11)=Decisions!F11,Decisions!F11&gt;=1,Decisions!F11&lt;=24,18=Decisions!F11),Decisions!B11,0),0)</f>
        <v>24223</v>
      </c>
      <c r="U25" s="63">
        <f>U13-U23+IF(Decisions!D11=1,IF(AND(ISNUMBER(Decisions!F11),INT(Decisions!F11)=Decisions!F11,Decisions!F11&gt;=1,Decisions!F11&lt;=24,19=Decisions!F11),Decisions!B11,0),0)</f>
        <v>27370</v>
      </c>
      <c r="V25" s="63">
        <f>V13-V23+IF(Decisions!D11=1,IF(AND(ISNUMBER(Decisions!F11),INT(Decisions!F11)=Decisions!F11,Decisions!F11&gt;=1,Decisions!F11&lt;=24,20=Decisions!F11),Decisions!B11,0),0)</f>
        <v>31028</v>
      </c>
      <c r="W25" s="63">
        <f>W13-W23+IF(Decisions!D11=1,IF(AND(ISNUMBER(Decisions!F11),INT(Decisions!F11)=Decisions!F11,Decisions!F11&gt;=1,Decisions!F11&lt;=24,21=Decisions!F11),Decisions!B11,0),0)</f>
        <v>35105</v>
      </c>
      <c r="X25" s="63">
        <f>X13-X23+IF(Decisions!D11=1,IF(AND(ISNUMBER(Decisions!F11),INT(Decisions!F11)=Decisions!F11,Decisions!F11&gt;=1,Decisions!F11&lt;=24,22=Decisions!F11),Decisions!B11,0),0)</f>
        <v>39631</v>
      </c>
      <c r="Y25" s="63">
        <f>Y13-Y23+IF(Decisions!D11=1,IF(AND(ISNUMBER(Decisions!F11),INT(Decisions!F11)=Decisions!F11,Decisions!F11&gt;=1,Decisions!F11&lt;=24,23=Decisions!F11),Decisions!B11,0),0)</f>
        <v>44664</v>
      </c>
      <c r="Z25" s="63">
        <f>Z13-Z23+IF(Decisions!D11=1,IF(AND(ISNUMBER(Decisions!F11),INT(Decisions!F11)=Decisions!F11,Decisions!F11&gt;=1,Decisions!F11&lt;=24,24=Decisions!F11),Decisions!B11,0),0)</f>
        <v>50112</v>
      </c>
      <c r="AA25" s="64" t="s">
        <v>161</v>
      </c>
    </row>
    <row r="26" spans="1:27" ht="19.5" customHeight="1" x14ac:dyDescent="0.25">
      <c r="A26" s="61" t="s">
        <v>162</v>
      </c>
      <c r="B26" s="62"/>
      <c r="C26" s="65">
        <f>Assumptions!B34+C25</f>
        <v>391920</v>
      </c>
      <c r="D26" s="65">
        <f t="shared" ref="D26:Z26" si="2">C26+D25</f>
        <v>401904</v>
      </c>
      <c r="E26" s="65">
        <f t="shared" si="2"/>
        <v>418399</v>
      </c>
      <c r="F26" s="65">
        <f t="shared" si="2"/>
        <v>441415</v>
      </c>
      <c r="G26" s="65">
        <f t="shared" si="2"/>
        <v>471069</v>
      </c>
      <c r="H26" s="65">
        <f t="shared" si="2"/>
        <v>507695</v>
      </c>
      <c r="I26" s="65">
        <f t="shared" si="2"/>
        <v>555953</v>
      </c>
      <c r="J26" s="65">
        <f t="shared" si="2"/>
        <v>599492</v>
      </c>
      <c r="K26" s="65">
        <f t="shared" si="2"/>
        <v>623731</v>
      </c>
      <c r="L26" s="65">
        <f t="shared" si="2"/>
        <v>645277</v>
      </c>
      <c r="M26" s="65">
        <f t="shared" si="2"/>
        <v>662938</v>
      </c>
      <c r="N26" s="65">
        <f t="shared" si="2"/>
        <v>679544</v>
      </c>
      <c r="O26" s="65">
        <f t="shared" si="2"/>
        <v>695867</v>
      </c>
      <c r="P26" s="65">
        <f t="shared" si="2"/>
        <v>712556</v>
      </c>
      <c r="Q26" s="65">
        <f t="shared" si="2"/>
        <v>730292</v>
      </c>
      <c r="R26" s="65">
        <f t="shared" si="2"/>
        <v>749675</v>
      </c>
      <c r="S26" s="65">
        <f t="shared" si="2"/>
        <v>771203</v>
      </c>
      <c r="T26" s="65">
        <f t="shared" si="2"/>
        <v>795426</v>
      </c>
      <c r="U26" s="65">
        <f t="shared" si="2"/>
        <v>822796</v>
      </c>
      <c r="V26" s="65">
        <f t="shared" si="2"/>
        <v>853824</v>
      </c>
      <c r="W26" s="65">
        <f t="shared" si="2"/>
        <v>888929</v>
      </c>
      <c r="X26" s="65">
        <f t="shared" si="2"/>
        <v>928560</v>
      </c>
      <c r="Y26" s="65">
        <f t="shared" si="2"/>
        <v>973224</v>
      </c>
      <c r="Z26" s="65">
        <f t="shared" si="2"/>
        <v>1023336</v>
      </c>
      <c r="AA26" s="64"/>
    </row>
    <row r="27" spans="1:27" ht="24" customHeight="1" x14ac:dyDescent="0.25">
      <c r="A27" s="47" t="s">
        <v>245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1:27" ht="19.5" customHeight="1" x14ac:dyDescent="0.25">
      <c r="A28" s="66" t="s">
        <v>163</v>
      </c>
      <c r="B28" s="67" t="s">
        <v>164</v>
      </c>
      <c r="C28" s="68">
        <f t="shared" ref="C28:Z28" si="3">IF(C25&lt;0,ABS(C25),0)</f>
        <v>108080</v>
      </c>
      <c r="D28" s="68">
        <f t="shared" si="3"/>
        <v>0</v>
      </c>
      <c r="E28" s="68">
        <f t="shared" si="3"/>
        <v>0</v>
      </c>
      <c r="F28" s="68">
        <f t="shared" si="3"/>
        <v>0</v>
      </c>
      <c r="G28" s="68">
        <f t="shared" si="3"/>
        <v>0</v>
      </c>
      <c r="H28" s="68">
        <f t="shared" si="3"/>
        <v>0</v>
      </c>
      <c r="I28" s="68">
        <f t="shared" si="3"/>
        <v>0</v>
      </c>
      <c r="J28" s="68">
        <f t="shared" si="3"/>
        <v>0</v>
      </c>
      <c r="K28" s="68">
        <f t="shared" si="3"/>
        <v>0</v>
      </c>
      <c r="L28" s="68">
        <f t="shared" si="3"/>
        <v>0</v>
      </c>
      <c r="M28" s="68">
        <f t="shared" si="3"/>
        <v>0</v>
      </c>
      <c r="N28" s="68">
        <f t="shared" si="3"/>
        <v>0</v>
      </c>
      <c r="O28" s="68">
        <f t="shared" si="3"/>
        <v>0</v>
      </c>
      <c r="P28" s="68">
        <f t="shared" si="3"/>
        <v>0</v>
      </c>
      <c r="Q28" s="68">
        <f t="shared" si="3"/>
        <v>0</v>
      </c>
      <c r="R28" s="68">
        <f t="shared" si="3"/>
        <v>0</v>
      </c>
      <c r="S28" s="68">
        <f t="shared" si="3"/>
        <v>0</v>
      </c>
      <c r="T28" s="68">
        <f t="shared" si="3"/>
        <v>0</v>
      </c>
      <c r="U28" s="68">
        <f t="shared" si="3"/>
        <v>0</v>
      </c>
      <c r="V28" s="68">
        <f t="shared" si="3"/>
        <v>0</v>
      </c>
      <c r="W28" s="68">
        <f t="shared" si="3"/>
        <v>0</v>
      </c>
      <c r="X28" s="68">
        <f t="shared" si="3"/>
        <v>0</v>
      </c>
      <c r="Y28" s="68">
        <f t="shared" si="3"/>
        <v>0</v>
      </c>
      <c r="Z28" s="68">
        <f t="shared" si="3"/>
        <v>0</v>
      </c>
      <c r="AA28" s="69" t="s">
        <v>165</v>
      </c>
    </row>
    <row r="29" spans="1:27" ht="19.5" customHeight="1" x14ac:dyDescent="0.25">
      <c r="A29" s="70" t="s">
        <v>166</v>
      </c>
      <c r="B29" s="57" t="s">
        <v>164</v>
      </c>
      <c r="C29" s="71">
        <f t="shared" ref="C29:Z29" si="4">IF(C25&lt;0,IF(C26&lt;=0,"💀 Exhausted",IF(C28&gt;0,ROUND(MAX(0,C26/C28),1),"N/A")),"✅ Safe")</f>
        <v>3.6</v>
      </c>
      <c r="D29" s="71" t="str">
        <f t="shared" si="4"/>
        <v>✅ Safe</v>
      </c>
      <c r="E29" s="71" t="str">
        <f t="shared" si="4"/>
        <v>✅ Safe</v>
      </c>
      <c r="F29" s="71" t="str">
        <f t="shared" si="4"/>
        <v>✅ Safe</v>
      </c>
      <c r="G29" s="71" t="str">
        <f t="shared" si="4"/>
        <v>✅ Safe</v>
      </c>
      <c r="H29" s="71" t="str">
        <f t="shared" si="4"/>
        <v>✅ Safe</v>
      </c>
      <c r="I29" s="71" t="str">
        <f t="shared" si="4"/>
        <v>✅ Safe</v>
      </c>
      <c r="J29" s="71" t="str">
        <f t="shared" si="4"/>
        <v>✅ Safe</v>
      </c>
      <c r="K29" s="71" t="str">
        <f t="shared" si="4"/>
        <v>✅ Safe</v>
      </c>
      <c r="L29" s="71" t="str">
        <f t="shared" si="4"/>
        <v>✅ Safe</v>
      </c>
      <c r="M29" s="71" t="str">
        <f t="shared" si="4"/>
        <v>✅ Safe</v>
      </c>
      <c r="N29" s="71" t="str">
        <f t="shared" si="4"/>
        <v>✅ Safe</v>
      </c>
      <c r="O29" s="71" t="str">
        <f t="shared" si="4"/>
        <v>✅ Safe</v>
      </c>
      <c r="P29" s="71" t="str">
        <f t="shared" si="4"/>
        <v>✅ Safe</v>
      </c>
      <c r="Q29" s="71" t="str">
        <f t="shared" si="4"/>
        <v>✅ Safe</v>
      </c>
      <c r="R29" s="71" t="str">
        <f t="shared" si="4"/>
        <v>✅ Safe</v>
      </c>
      <c r="S29" s="71" t="str">
        <f t="shared" si="4"/>
        <v>✅ Safe</v>
      </c>
      <c r="T29" s="71" t="str">
        <f t="shared" si="4"/>
        <v>✅ Safe</v>
      </c>
      <c r="U29" s="71" t="str">
        <f t="shared" si="4"/>
        <v>✅ Safe</v>
      </c>
      <c r="V29" s="71" t="str">
        <f t="shared" si="4"/>
        <v>✅ Safe</v>
      </c>
      <c r="W29" s="71" t="str">
        <f t="shared" si="4"/>
        <v>✅ Safe</v>
      </c>
      <c r="X29" s="71" t="str">
        <f t="shared" si="4"/>
        <v>✅ Safe</v>
      </c>
      <c r="Y29" s="71" t="str">
        <f t="shared" si="4"/>
        <v>✅ Safe</v>
      </c>
      <c r="Z29" s="71" t="str">
        <f t="shared" si="4"/>
        <v>✅ Safe</v>
      </c>
      <c r="AA29" s="59" t="s">
        <v>167</v>
      </c>
    </row>
    <row r="30" spans="1:27" ht="19.5" customHeight="1" x14ac:dyDescent="0.25">
      <c r="A30" s="66" t="s">
        <v>168</v>
      </c>
      <c r="B30" s="67" t="s">
        <v>164</v>
      </c>
      <c r="C30" s="72" t="str">
        <f>IF(C29="💀 Exhausted","🔴 GONE",IF(ISNUMBER(C29),IF(C29&lt;Assumptions!B41,"⚠ LOW","✅ OK"),"✅ OK"))</f>
        <v>✅ OK</v>
      </c>
      <c r="D30" s="72" t="str">
        <f>IF(D29="💀 Exhausted","🔴 GONE",IF(ISNUMBER(D29),IF(D29&lt;Assumptions!B41,"⚠ LOW","✅ OK"),"✅ OK"))</f>
        <v>✅ OK</v>
      </c>
      <c r="E30" s="72" t="str">
        <f>IF(E29="💀 Exhausted","🔴 GONE",IF(ISNUMBER(E29),IF(E29&lt;Assumptions!B41,"⚠ LOW","✅ OK"),"✅ OK"))</f>
        <v>✅ OK</v>
      </c>
      <c r="F30" s="72" t="str">
        <f>IF(F29="💀 Exhausted","🔴 GONE",IF(ISNUMBER(F29),IF(F29&lt;Assumptions!B41,"⚠ LOW","✅ OK"),"✅ OK"))</f>
        <v>✅ OK</v>
      </c>
      <c r="G30" s="72" t="str">
        <f>IF(G29="💀 Exhausted","🔴 GONE",IF(ISNUMBER(G29),IF(G29&lt;Assumptions!B41,"⚠ LOW","✅ OK"),"✅ OK"))</f>
        <v>✅ OK</v>
      </c>
      <c r="H30" s="72" t="str">
        <f>IF(H29="💀 Exhausted","🔴 GONE",IF(ISNUMBER(H29),IF(H29&lt;Assumptions!B41,"⚠ LOW","✅ OK"),"✅ OK"))</f>
        <v>✅ OK</v>
      </c>
      <c r="I30" s="72" t="str">
        <f>IF(I29="💀 Exhausted","🔴 GONE",IF(ISNUMBER(I29),IF(I29&lt;Assumptions!B41,"⚠ LOW","✅ OK"),"✅ OK"))</f>
        <v>✅ OK</v>
      </c>
      <c r="J30" s="72" t="str">
        <f>IF(J29="💀 Exhausted","🔴 GONE",IF(ISNUMBER(J29),IF(J29&lt;Assumptions!B41,"⚠ LOW","✅ OK"),"✅ OK"))</f>
        <v>✅ OK</v>
      </c>
      <c r="K30" s="72" t="str">
        <f>IF(K29="💀 Exhausted","🔴 GONE",IF(ISNUMBER(K29),IF(K29&lt;Assumptions!B41,"⚠ LOW","✅ OK"),"✅ OK"))</f>
        <v>✅ OK</v>
      </c>
      <c r="L30" s="72" t="str">
        <f>IF(L29="💀 Exhausted","🔴 GONE",IF(ISNUMBER(L29),IF(L29&lt;Assumptions!B41,"⚠ LOW","✅ OK"),"✅ OK"))</f>
        <v>✅ OK</v>
      </c>
      <c r="M30" s="72" t="str">
        <f>IF(M29="💀 Exhausted","🔴 GONE",IF(ISNUMBER(M29),IF(M29&lt;Assumptions!B41,"⚠ LOW","✅ OK"),"✅ OK"))</f>
        <v>✅ OK</v>
      </c>
      <c r="N30" s="72" t="str">
        <f>IF(N29="💀 Exhausted","🔴 GONE",IF(ISNUMBER(N29),IF(N29&lt;Assumptions!B41,"⚠ LOW","✅ OK"),"✅ OK"))</f>
        <v>✅ OK</v>
      </c>
      <c r="O30" s="72" t="str">
        <f>IF(O29="💀 Exhausted","🔴 GONE",IF(ISNUMBER(O29),IF(O29&lt;Assumptions!B41,"⚠ LOW","✅ OK"),"✅ OK"))</f>
        <v>✅ OK</v>
      </c>
      <c r="P30" s="72" t="str">
        <f>IF(P29="💀 Exhausted","🔴 GONE",IF(ISNUMBER(P29),IF(P29&lt;Assumptions!B41,"⚠ LOW","✅ OK"),"✅ OK"))</f>
        <v>✅ OK</v>
      </c>
      <c r="Q30" s="72" t="str">
        <f>IF(Q29="💀 Exhausted","🔴 GONE",IF(ISNUMBER(Q29),IF(Q29&lt;Assumptions!B41,"⚠ LOW","✅ OK"),"✅ OK"))</f>
        <v>✅ OK</v>
      </c>
      <c r="R30" s="72" t="str">
        <f>IF(R29="💀 Exhausted","🔴 GONE",IF(ISNUMBER(R29),IF(R29&lt;Assumptions!B41,"⚠ LOW","✅ OK"),"✅ OK"))</f>
        <v>✅ OK</v>
      </c>
      <c r="S30" s="72" t="str">
        <f>IF(S29="💀 Exhausted","🔴 GONE",IF(ISNUMBER(S29),IF(S29&lt;Assumptions!B41,"⚠ LOW","✅ OK"),"✅ OK"))</f>
        <v>✅ OK</v>
      </c>
      <c r="T30" s="72" t="str">
        <f>IF(T29="💀 Exhausted","🔴 GONE",IF(ISNUMBER(T29),IF(T29&lt;Assumptions!B41,"⚠ LOW","✅ OK"),"✅ OK"))</f>
        <v>✅ OK</v>
      </c>
      <c r="U30" s="72" t="str">
        <f>IF(U29="💀 Exhausted","🔴 GONE",IF(ISNUMBER(U29),IF(U29&lt;Assumptions!B41,"⚠ LOW","✅ OK"),"✅ OK"))</f>
        <v>✅ OK</v>
      </c>
      <c r="V30" s="72" t="str">
        <f>IF(V29="💀 Exhausted","🔴 GONE",IF(ISNUMBER(V29),IF(V29&lt;Assumptions!B41,"⚠ LOW","✅ OK"),"✅ OK"))</f>
        <v>✅ OK</v>
      </c>
      <c r="W30" s="72" t="str">
        <f>IF(W29="💀 Exhausted","🔴 GONE",IF(ISNUMBER(W29),IF(W29&lt;Assumptions!B41,"⚠ LOW","✅ OK"),"✅ OK"))</f>
        <v>✅ OK</v>
      </c>
      <c r="X30" s="72" t="str">
        <f>IF(X29="💀 Exhausted","🔴 GONE",IF(ISNUMBER(X29),IF(X29&lt;Assumptions!B41,"⚠ LOW","✅ OK"),"✅ OK"))</f>
        <v>✅ OK</v>
      </c>
      <c r="Y30" s="72" t="str">
        <f>IF(Y29="💀 Exhausted","🔴 GONE",IF(ISNUMBER(Y29),IF(Y29&lt;Assumptions!B41,"⚠ LOW","✅ OK"),"✅ OK"))</f>
        <v>✅ OK</v>
      </c>
      <c r="Z30" s="72" t="str">
        <f>IF(Z29="💀 Exhausted","🔴 GONE",IF(ISNUMBER(Z29),IF(Z29&lt;Assumptions!B41,"⚠ LOW","✅ OK"),"✅ OK"))</f>
        <v>✅ OK</v>
      </c>
      <c r="AA30" s="69" t="s">
        <v>169</v>
      </c>
    </row>
    <row r="31" spans="1:27" ht="19.5" customHeight="1" x14ac:dyDescent="0.25">
      <c r="A31" s="70" t="s">
        <v>170</v>
      </c>
      <c r="B31" s="57" t="s">
        <v>164</v>
      </c>
      <c r="C31" s="73">
        <f>IFERROR((C23-C21-C22)/(1-Assumptions!B20),0)</f>
        <v>104639.17525773196</v>
      </c>
      <c r="D31" s="74">
        <f>IFERROR((D23-D21-D22)/(1-Assumptions!B20),0)</f>
        <v>104673.19587628866</v>
      </c>
      <c r="E31" s="73">
        <f>IFERROR((E23-E21-E22)/(1-Assumptions!B20),0)</f>
        <v>104706.18556701031</v>
      </c>
      <c r="F31" s="74">
        <f>IFERROR((F23-F21-F22)/(1-Assumptions!B20),0)</f>
        <v>105081.44329896907</v>
      </c>
      <c r="G31" s="73">
        <f>IFERROR((G23-G21-G22)/(1-Assumptions!B20),0)</f>
        <v>105612.37113402062</v>
      </c>
      <c r="H31" s="74">
        <f>IFERROR((H23-H21-H22)/(1-Assumptions!B20),0)</f>
        <v>106168.0412371134</v>
      </c>
      <c r="I31" s="73">
        <f>IFERROR((I23-I21-I22)/(1-Assumptions!B20),0)</f>
        <v>105897.93814432991</v>
      </c>
      <c r="J31" s="74">
        <f>IFERROR((J23-J21-J22)/(1-Assumptions!B20),0)</f>
        <v>105698.96907216495</v>
      </c>
      <c r="K31" s="73">
        <f>IFERROR((K23-K21-K22)/(1-Assumptions!B20),0)</f>
        <v>125671.13402061856</v>
      </c>
      <c r="L31" s="74">
        <f>IFERROR((L23-L21-L22)/(1-Assumptions!B20),0)</f>
        <v>125600</v>
      </c>
      <c r="M31" s="73">
        <f>IFERROR((M23-M21-M22)/(1-Assumptions!B20),0)</f>
        <v>128259.793814433</v>
      </c>
      <c r="N31" s="74">
        <f>IFERROR((N23-N21-N22)/(1-Assumptions!B20),0)</f>
        <v>128293.81443298969</v>
      </c>
      <c r="O31" s="73">
        <f>IFERROR((O23-O21-O22)/(1-Assumptions!B20),0)</f>
        <v>128371.13402061856</v>
      </c>
      <c r="P31" s="74">
        <f>IFERROR((P23-P21-P22)/(1-Assumptions!B20),0)</f>
        <v>128495.8762886598</v>
      </c>
      <c r="Q31" s="73">
        <f>IFERROR((Q23-Q21-Q22)/(1-Assumptions!B20),0)</f>
        <v>128660.82474226804</v>
      </c>
      <c r="R31" s="74">
        <f>IFERROR((R23-R21-R22)/(1-Assumptions!B20),0)</f>
        <v>128860.82474226804</v>
      </c>
      <c r="S31" s="73">
        <f>IFERROR((S23-S21-S22)/(1-Assumptions!B20),0)</f>
        <v>129097.93814432991</v>
      </c>
      <c r="T31" s="74">
        <f>IFERROR((T23-T21-T22)/(1-Assumptions!B20),0)</f>
        <v>129367.01030927835</v>
      </c>
      <c r="U31" s="73">
        <f>IFERROR((U23-U21-U22)/(1-Assumptions!B20),0)</f>
        <v>129671.13402061856</v>
      </c>
      <c r="V31" s="74">
        <f>IFERROR((V23-V21-V22)/(1-Assumptions!B20),0)</f>
        <v>130005.15463917526</v>
      </c>
      <c r="W31" s="73">
        <f>IFERROR((W23-W21-W22)/(1-Assumptions!B20),0)</f>
        <v>130371.13402061856</v>
      </c>
      <c r="X31" s="74">
        <f>IFERROR((X23-X21-X22)/(1-Assumptions!B20),0)</f>
        <v>130772.16494845362</v>
      </c>
      <c r="Y31" s="73">
        <f>IFERROR((Y23-Y21-Y22)/(1-Assumptions!B20),0)</f>
        <v>131202.06185567009</v>
      </c>
      <c r="Z31" s="74">
        <f>IFERROR((Z23-Z21-Z22)/(1-Assumptions!B20),0)</f>
        <v>131664.94845360826</v>
      </c>
      <c r="AA31" s="59" t="s">
        <v>171</v>
      </c>
    </row>
    <row r="32" spans="1:27" ht="19.5" customHeight="1" x14ac:dyDescent="0.25">
      <c r="A32" s="75"/>
      <c r="B32" s="76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</row>
  </sheetData>
  <sheetProtection algorithmName="SHA-512" hashValue="N8DvbfwtD5TPu00RzMN2UGa4Nf6rdb99+37kfXGK3F3RU8db76WeCH2oOiseIc2HoYf6/pBHyT1DlZUvTUcVIQ==" saltValue="JrDxWrV+CmvNNnuJGIofUQ==" spinCount="100000" sheet="1" formatCells="0" formatColumns="0" formatRows="0" insertColumns="0" insertRows="0" insertHyperlinks="0" deleteColumns="0" deleteRows="0" sort="0" autoFilter="0" pivotTables="0"/>
  <mergeCells count="19">
    <mergeCell ref="A6:Z6"/>
    <mergeCell ref="A8:AA8"/>
    <mergeCell ref="A14:AA14"/>
    <mergeCell ref="A4:C4"/>
    <mergeCell ref="D4:F4"/>
    <mergeCell ref="G4:I4"/>
    <mergeCell ref="J4:L4"/>
    <mergeCell ref="M4:O4"/>
    <mergeCell ref="A3:C3"/>
    <mergeCell ref="D3:F3"/>
    <mergeCell ref="G3:I3"/>
    <mergeCell ref="J3:L3"/>
    <mergeCell ref="M3:O3"/>
    <mergeCell ref="A1:Z1"/>
    <mergeCell ref="A2:C2"/>
    <mergeCell ref="D2:F2"/>
    <mergeCell ref="G2:I2"/>
    <mergeCell ref="J2:L2"/>
    <mergeCell ref="M2:O2"/>
  </mergeCells>
  <conditionalFormatting sqref="C25:Z25">
    <cfRule type="cellIs" dxfId="1" priority="2" operator="greaterThan">
      <formula>0</formula>
    </cfRule>
  </conditionalFormatting>
  <conditionalFormatting sqref="C25:Z26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3"/>
  <sheetViews>
    <sheetView showGridLines="0" zoomScaleNormal="100" workbookViewId="0"/>
  </sheetViews>
  <sheetFormatPr defaultColWidth="8.7109375" defaultRowHeight="15" x14ac:dyDescent="0.25"/>
  <cols>
    <col min="1" max="2" width="12" style="9" customWidth="1"/>
    <col min="3" max="3" width="18" style="9" customWidth="1"/>
    <col min="4" max="6" width="12" style="9" customWidth="1"/>
    <col min="7" max="7" width="14" style="9" customWidth="1"/>
    <col min="8" max="8" width="10" style="9" customWidth="1"/>
  </cols>
  <sheetData>
    <row r="1" spans="1:8" ht="21.75" customHeight="1" x14ac:dyDescent="0.25">
      <c r="A1" s="79" t="s">
        <v>172</v>
      </c>
      <c r="B1" s="79" t="s">
        <v>173</v>
      </c>
      <c r="C1" s="79" t="s">
        <v>174</v>
      </c>
      <c r="D1" s="79" t="s">
        <v>175</v>
      </c>
      <c r="E1" s="79" t="s">
        <v>3</v>
      </c>
      <c r="F1" s="79" t="s">
        <v>176</v>
      </c>
      <c r="G1" s="79" t="s">
        <v>177</v>
      </c>
      <c r="H1" s="79" t="s">
        <v>178</v>
      </c>
    </row>
    <row r="2" spans="1:8" ht="15" customHeight="1" x14ac:dyDescent="0.25">
      <c r="A2" s="80" t="s">
        <v>179</v>
      </c>
      <c r="B2" s="80" t="s">
        <v>180</v>
      </c>
      <c r="C2" s="80" t="s">
        <v>181</v>
      </c>
      <c r="D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" s="77">
        <f>'Cash Flow Model'!C13</f>
        <v>0</v>
      </c>
      <c r="F2" s="82">
        <v>1</v>
      </c>
      <c r="G2" s="81" t="s">
        <v>182</v>
      </c>
      <c r="H2" s="81" t="s">
        <v>68</v>
      </c>
    </row>
    <row r="3" spans="1:8" ht="15" customHeight="1" x14ac:dyDescent="0.25">
      <c r="A3" s="83" t="s">
        <v>183</v>
      </c>
      <c r="B3" s="83" t="s">
        <v>180</v>
      </c>
      <c r="C3" s="83" t="s">
        <v>181</v>
      </c>
      <c r="D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" s="85">
        <f>'Cash Flow Model'!D13</f>
        <v>120000</v>
      </c>
      <c r="F3" s="86">
        <v>2</v>
      </c>
      <c r="G3" s="84" t="s">
        <v>184</v>
      </c>
      <c r="H3" s="84" t="s">
        <v>68</v>
      </c>
    </row>
    <row r="4" spans="1:8" ht="15" customHeight="1" x14ac:dyDescent="0.25">
      <c r="A4" s="80" t="s">
        <v>185</v>
      </c>
      <c r="B4" s="80" t="s">
        <v>180</v>
      </c>
      <c r="C4" s="80" t="s">
        <v>181</v>
      </c>
      <c r="D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" s="77">
        <f>'Cash Flow Model'!E13</f>
        <v>128525</v>
      </c>
      <c r="F4" s="82">
        <v>3</v>
      </c>
      <c r="G4" s="81" t="s">
        <v>186</v>
      </c>
      <c r="H4" s="81" t="s">
        <v>68</v>
      </c>
    </row>
    <row r="5" spans="1:8" ht="15" customHeight="1" x14ac:dyDescent="0.25">
      <c r="A5" s="83" t="s">
        <v>187</v>
      </c>
      <c r="B5" s="83" t="s">
        <v>180</v>
      </c>
      <c r="C5" s="83" t="s">
        <v>181</v>
      </c>
      <c r="D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" s="85">
        <f>'Cash Flow Model'!F13</f>
        <v>137401</v>
      </c>
      <c r="F5" s="86">
        <v>4</v>
      </c>
      <c r="G5" s="84" t="s">
        <v>188</v>
      </c>
      <c r="H5" s="84" t="s">
        <v>68</v>
      </c>
    </row>
    <row r="6" spans="1:8" ht="15" customHeight="1" x14ac:dyDescent="0.25">
      <c r="A6" s="80" t="s">
        <v>189</v>
      </c>
      <c r="B6" s="80" t="s">
        <v>180</v>
      </c>
      <c r="C6" s="80" t="s">
        <v>181</v>
      </c>
      <c r="D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" s="77">
        <f>'Cash Flow Model'!G13</f>
        <v>146616</v>
      </c>
      <c r="F6" s="82">
        <v>5</v>
      </c>
      <c r="G6" s="81" t="s">
        <v>190</v>
      </c>
      <c r="H6" s="81" t="s">
        <v>68</v>
      </c>
    </row>
    <row r="7" spans="1:8" ht="15" customHeight="1" x14ac:dyDescent="0.25">
      <c r="A7" s="83" t="s">
        <v>191</v>
      </c>
      <c r="B7" s="83" t="s">
        <v>180</v>
      </c>
      <c r="C7" s="83" t="s">
        <v>181</v>
      </c>
      <c r="D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" s="85">
        <f>'Cash Flow Model'!H13</f>
        <v>156283</v>
      </c>
      <c r="F7" s="86">
        <v>6</v>
      </c>
      <c r="G7" s="84" t="s">
        <v>192</v>
      </c>
      <c r="H7" s="84" t="s">
        <v>68</v>
      </c>
    </row>
    <row r="8" spans="1:8" ht="15" customHeight="1" x14ac:dyDescent="0.25">
      <c r="A8" s="80" t="s">
        <v>193</v>
      </c>
      <c r="B8" s="80" t="s">
        <v>180</v>
      </c>
      <c r="C8" s="80" t="s">
        <v>181</v>
      </c>
      <c r="D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" s="77">
        <f>'Cash Flow Model'!I13</f>
        <v>166387</v>
      </c>
      <c r="F8" s="82">
        <v>7</v>
      </c>
      <c r="G8" s="81" t="s">
        <v>194</v>
      </c>
      <c r="H8" s="81" t="s">
        <v>68</v>
      </c>
    </row>
    <row r="9" spans="1:8" ht="15" customHeight="1" x14ac:dyDescent="0.25">
      <c r="A9" s="83" t="s">
        <v>195</v>
      </c>
      <c r="B9" s="83" t="s">
        <v>180</v>
      </c>
      <c r="C9" s="83" t="s">
        <v>181</v>
      </c>
      <c r="D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" s="85">
        <f>'Cash Flow Model'!J13</f>
        <v>160501</v>
      </c>
      <c r="F9" s="86">
        <v>8</v>
      </c>
      <c r="G9" s="84" t="s">
        <v>196</v>
      </c>
      <c r="H9" s="84" t="s">
        <v>68</v>
      </c>
    </row>
    <row r="10" spans="1:8" ht="15" customHeight="1" x14ac:dyDescent="0.25">
      <c r="A10" s="80" t="s">
        <v>197</v>
      </c>
      <c r="B10" s="80" t="s">
        <v>180</v>
      </c>
      <c r="C10" s="80" t="s">
        <v>181</v>
      </c>
      <c r="D1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" s="77">
        <f>'Cash Flow Model'!K13</f>
        <v>155981</v>
      </c>
      <c r="F10" s="82">
        <v>9</v>
      </c>
      <c r="G10" s="81" t="s">
        <v>198</v>
      </c>
      <c r="H10" s="81" t="s">
        <v>68</v>
      </c>
    </row>
    <row r="11" spans="1:8" ht="15" customHeight="1" x14ac:dyDescent="0.25">
      <c r="A11" s="83" t="s">
        <v>199</v>
      </c>
      <c r="B11" s="83" t="s">
        <v>180</v>
      </c>
      <c r="C11" s="83" t="s">
        <v>181</v>
      </c>
      <c r="D1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" s="85">
        <f>'Cash Flow Model'!L13</f>
        <v>152773</v>
      </c>
      <c r="F11" s="86">
        <v>10</v>
      </c>
      <c r="G11" s="84" t="s">
        <v>200</v>
      </c>
      <c r="H11" s="84" t="s">
        <v>68</v>
      </c>
    </row>
    <row r="12" spans="1:8" ht="15" customHeight="1" x14ac:dyDescent="0.25">
      <c r="A12" s="80" t="s">
        <v>201</v>
      </c>
      <c r="B12" s="80" t="s">
        <v>180</v>
      </c>
      <c r="C12" s="80" t="s">
        <v>181</v>
      </c>
      <c r="D1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" s="77">
        <f>'Cash Flow Model'!M13</f>
        <v>150720</v>
      </c>
      <c r="F12" s="82">
        <v>11</v>
      </c>
      <c r="G12" s="81" t="s">
        <v>202</v>
      </c>
      <c r="H12" s="81" t="s">
        <v>68</v>
      </c>
    </row>
    <row r="13" spans="1:8" ht="15" customHeight="1" x14ac:dyDescent="0.25">
      <c r="A13" s="83" t="s">
        <v>203</v>
      </c>
      <c r="B13" s="83" t="s">
        <v>180</v>
      </c>
      <c r="C13" s="83" t="s">
        <v>181</v>
      </c>
      <c r="D1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" s="85">
        <f>'Cash Flow Model'!N13</f>
        <v>149684</v>
      </c>
      <c r="F13" s="86">
        <v>12</v>
      </c>
      <c r="G13" s="84" t="s">
        <v>204</v>
      </c>
      <c r="H13" s="84" t="s">
        <v>68</v>
      </c>
    </row>
    <row r="14" spans="1:8" ht="15" customHeight="1" x14ac:dyDescent="0.25">
      <c r="A14" s="80" t="s">
        <v>205</v>
      </c>
      <c r="B14" s="80" t="s">
        <v>180</v>
      </c>
      <c r="C14" s="80" t="s">
        <v>181</v>
      </c>
      <c r="D1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" s="77">
        <f>'Cash Flow Model'!O13</f>
        <v>149652</v>
      </c>
      <c r="F14" s="82">
        <v>13</v>
      </c>
      <c r="G14" s="81" t="s">
        <v>206</v>
      </c>
      <c r="H14" s="81" t="s">
        <v>68</v>
      </c>
    </row>
    <row r="15" spans="1:8" ht="15" customHeight="1" x14ac:dyDescent="0.25">
      <c r="A15" s="83" t="s">
        <v>207</v>
      </c>
      <c r="B15" s="83" t="s">
        <v>180</v>
      </c>
      <c r="C15" s="83" t="s">
        <v>181</v>
      </c>
      <c r="D1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" s="85">
        <f>'Cash Flow Model'!P13</f>
        <v>150504</v>
      </c>
      <c r="F15" s="86">
        <v>14</v>
      </c>
      <c r="G15" s="84" t="s">
        <v>208</v>
      </c>
      <c r="H15" s="84" t="s">
        <v>68</v>
      </c>
    </row>
    <row r="16" spans="1:8" ht="15" customHeight="1" x14ac:dyDescent="0.25">
      <c r="A16" s="80" t="s">
        <v>209</v>
      </c>
      <c r="B16" s="80" t="s">
        <v>180</v>
      </c>
      <c r="C16" s="80" t="s">
        <v>181</v>
      </c>
      <c r="D1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" s="77">
        <f>'Cash Flow Model'!Q13</f>
        <v>152244</v>
      </c>
      <c r="F16" s="82">
        <v>15</v>
      </c>
      <c r="G16" s="81" t="s">
        <v>210</v>
      </c>
      <c r="H16" s="81" t="s">
        <v>68</v>
      </c>
    </row>
    <row r="17" spans="1:8" ht="15" customHeight="1" x14ac:dyDescent="0.25">
      <c r="A17" s="83" t="s">
        <v>211</v>
      </c>
      <c r="B17" s="83" t="s">
        <v>180</v>
      </c>
      <c r="C17" s="83" t="s">
        <v>181</v>
      </c>
      <c r="D1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" s="85">
        <f>'Cash Flow Model'!R13</f>
        <v>154765</v>
      </c>
      <c r="F17" s="86">
        <v>16</v>
      </c>
      <c r="G17" s="84" t="s">
        <v>212</v>
      </c>
      <c r="H17" s="84" t="s">
        <v>68</v>
      </c>
    </row>
    <row r="18" spans="1:8" ht="15" customHeight="1" x14ac:dyDescent="0.25">
      <c r="A18" s="80" t="s">
        <v>213</v>
      </c>
      <c r="B18" s="80" t="s">
        <v>180</v>
      </c>
      <c r="C18" s="80" t="s">
        <v>181</v>
      </c>
      <c r="D1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" s="77">
        <f>'Cash Flow Model'!S13</f>
        <v>157973</v>
      </c>
      <c r="F18" s="82">
        <v>17</v>
      </c>
      <c r="G18" s="81" t="s">
        <v>214</v>
      </c>
      <c r="H18" s="81" t="s">
        <v>68</v>
      </c>
    </row>
    <row r="19" spans="1:8" ht="15" customHeight="1" x14ac:dyDescent="0.25">
      <c r="A19" s="83" t="s">
        <v>215</v>
      </c>
      <c r="B19" s="83" t="s">
        <v>180</v>
      </c>
      <c r="C19" s="83" t="s">
        <v>181</v>
      </c>
      <c r="D1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" s="85">
        <f>'Cash Flow Model'!T13</f>
        <v>161896</v>
      </c>
      <c r="F19" s="86">
        <v>18</v>
      </c>
      <c r="G19" s="84" t="s">
        <v>216</v>
      </c>
      <c r="H19" s="84" t="s">
        <v>68</v>
      </c>
    </row>
    <row r="20" spans="1:8" ht="15" customHeight="1" x14ac:dyDescent="0.25">
      <c r="A20" s="80" t="s">
        <v>217</v>
      </c>
      <c r="B20" s="80" t="s">
        <v>180</v>
      </c>
      <c r="C20" s="80" t="s">
        <v>181</v>
      </c>
      <c r="D2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" s="77">
        <f>'Cash Flow Model'!U13</f>
        <v>166448</v>
      </c>
      <c r="F20" s="82">
        <v>19</v>
      </c>
      <c r="G20" s="81" t="s">
        <v>218</v>
      </c>
      <c r="H20" s="81" t="s">
        <v>68</v>
      </c>
    </row>
    <row r="21" spans="1:8" ht="15" customHeight="1" x14ac:dyDescent="0.25">
      <c r="A21" s="83" t="s">
        <v>219</v>
      </c>
      <c r="B21" s="83" t="s">
        <v>180</v>
      </c>
      <c r="C21" s="83" t="s">
        <v>181</v>
      </c>
      <c r="D2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" s="85">
        <f>'Cash Flow Model'!V13</f>
        <v>171664</v>
      </c>
      <c r="F21" s="86">
        <v>20</v>
      </c>
      <c r="G21" s="84" t="s">
        <v>220</v>
      </c>
      <c r="H21" s="84" t="s">
        <v>68</v>
      </c>
    </row>
    <row r="22" spans="1:8" ht="15" customHeight="1" x14ac:dyDescent="0.25">
      <c r="A22" s="80" t="s">
        <v>221</v>
      </c>
      <c r="B22" s="80" t="s">
        <v>180</v>
      </c>
      <c r="C22" s="80" t="s">
        <v>181</v>
      </c>
      <c r="D2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" s="77">
        <f>'Cash Flow Model'!W13</f>
        <v>177464</v>
      </c>
      <c r="F22" s="82">
        <v>21</v>
      </c>
      <c r="G22" s="81" t="s">
        <v>222</v>
      </c>
      <c r="H22" s="81" t="s">
        <v>68</v>
      </c>
    </row>
    <row r="23" spans="1:8" ht="15" customHeight="1" x14ac:dyDescent="0.25">
      <c r="A23" s="83" t="s">
        <v>223</v>
      </c>
      <c r="B23" s="83" t="s">
        <v>180</v>
      </c>
      <c r="C23" s="83" t="s">
        <v>181</v>
      </c>
      <c r="D2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" s="85">
        <f>'Cash Flow Model'!X13</f>
        <v>183888</v>
      </c>
      <c r="F23" s="86">
        <v>22</v>
      </c>
      <c r="G23" s="84" t="s">
        <v>224</v>
      </c>
      <c r="H23" s="84" t="s">
        <v>68</v>
      </c>
    </row>
    <row r="24" spans="1:8" ht="15" customHeight="1" x14ac:dyDescent="0.25">
      <c r="A24" s="80" t="s">
        <v>225</v>
      </c>
      <c r="B24" s="80" t="s">
        <v>180</v>
      </c>
      <c r="C24" s="80" t="s">
        <v>181</v>
      </c>
      <c r="D2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4" s="77">
        <f>'Cash Flow Model'!Y13</f>
        <v>190971</v>
      </c>
      <c r="F24" s="82">
        <v>23</v>
      </c>
      <c r="G24" s="81" t="s">
        <v>226</v>
      </c>
      <c r="H24" s="81" t="s">
        <v>68</v>
      </c>
    </row>
    <row r="25" spans="1:8" ht="15" customHeight="1" x14ac:dyDescent="0.25">
      <c r="A25" s="83" t="s">
        <v>227</v>
      </c>
      <c r="B25" s="83" t="s">
        <v>180</v>
      </c>
      <c r="C25" s="83" t="s">
        <v>181</v>
      </c>
      <c r="D2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5" s="85">
        <f>'Cash Flow Model'!Z13</f>
        <v>198634</v>
      </c>
      <c r="F25" s="86">
        <v>24</v>
      </c>
      <c r="G25" s="84" t="s">
        <v>228</v>
      </c>
      <c r="H25" s="84" t="s">
        <v>68</v>
      </c>
    </row>
    <row r="26" spans="1:8" ht="15" customHeight="1" x14ac:dyDescent="0.25">
      <c r="A26" s="80" t="s">
        <v>179</v>
      </c>
      <c r="B26" s="80" t="s">
        <v>229</v>
      </c>
      <c r="C26" s="80" t="s">
        <v>230</v>
      </c>
      <c r="D2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6" s="77">
        <f>'Cash Flow Model'!C23</f>
        <v>108080</v>
      </c>
      <c r="F26" s="82">
        <v>1</v>
      </c>
      <c r="G26" s="81" t="s">
        <v>182</v>
      </c>
      <c r="H26" s="81" t="s">
        <v>68</v>
      </c>
    </row>
    <row r="27" spans="1:8" ht="15" customHeight="1" x14ac:dyDescent="0.25">
      <c r="A27" s="83" t="s">
        <v>183</v>
      </c>
      <c r="B27" s="83" t="s">
        <v>229</v>
      </c>
      <c r="C27" s="83" t="s">
        <v>230</v>
      </c>
      <c r="D2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7" s="85">
        <f>'Cash Flow Model'!D23</f>
        <v>110016</v>
      </c>
      <c r="F27" s="86">
        <v>2</v>
      </c>
      <c r="G27" s="84" t="s">
        <v>184</v>
      </c>
      <c r="H27" s="84" t="s">
        <v>68</v>
      </c>
    </row>
    <row r="28" spans="1:8" ht="15" customHeight="1" x14ac:dyDescent="0.25">
      <c r="A28" s="80" t="s">
        <v>185</v>
      </c>
      <c r="B28" s="80" t="s">
        <v>229</v>
      </c>
      <c r="C28" s="80" t="s">
        <v>230</v>
      </c>
      <c r="D2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8" s="77">
        <f>'Cash Flow Model'!E23</f>
        <v>112030</v>
      </c>
      <c r="F28" s="82">
        <v>3</v>
      </c>
      <c r="G28" s="81" t="s">
        <v>186</v>
      </c>
      <c r="H28" s="81" t="s">
        <v>68</v>
      </c>
    </row>
    <row r="29" spans="1:8" ht="15" customHeight="1" x14ac:dyDescent="0.25">
      <c r="A29" s="83" t="s">
        <v>187</v>
      </c>
      <c r="B29" s="83" t="s">
        <v>229</v>
      </c>
      <c r="C29" s="83" t="s">
        <v>230</v>
      </c>
      <c r="D2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9" s="85">
        <f>'Cash Flow Model'!F23</f>
        <v>114385</v>
      </c>
      <c r="F29" s="86">
        <v>4</v>
      </c>
      <c r="G29" s="84" t="s">
        <v>188</v>
      </c>
      <c r="H29" s="84" t="s">
        <v>68</v>
      </c>
    </row>
    <row r="30" spans="1:8" ht="15" customHeight="1" x14ac:dyDescent="0.25">
      <c r="A30" s="80" t="s">
        <v>189</v>
      </c>
      <c r="B30" s="80" t="s">
        <v>229</v>
      </c>
      <c r="C30" s="80" t="s">
        <v>230</v>
      </c>
      <c r="D3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0" s="77">
        <f>'Cash Flow Model'!G23</f>
        <v>116962</v>
      </c>
      <c r="F30" s="82">
        <v>5</v>
      </c>
      <c r="G30" s="81" t="s">
        <v>190</v>
      </c>
      <c r="H30" s="81" t="s">
        <v>68</v>
      </c>
    </row>
    <row r="31" spans="1:8" ht="15" customHeight="1" x14ac:dyDescent="0.25">
      <c r="A31" s="83" t="s">
        <v>191</v>
      </c>
      <c r="B31" s="83" t="s">
        <v>229</v>
      </c>
      <c r="C31" s="83" t="s">
        <v>230</v>
      </c>
      <c r="D3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1" s="85">
        <f>'Cash Flow Model'!H23</f>
        <v>119657</v>
      </c>
      <c r="F31" s="86">
        <v>6</v>
      </c>
      <c r="G31" s="84" t="s">
        <v>192</v>
      </c>
      <c r="H31" s="84" t="s">
        <v>68</v>
      </c>
    </row>
    <row r="32" spans="1:8" ht="15" customHeight="1" x14ac:dyDescent="0.25">
      <c r="A32" s="80" t="s">
        <v>193</v>
      </c>
      <c r="B32" s="80" t="s">
        <v>229</v>
      </c>
      <c r="C32" s="80" t="s">
        <v>230</v>
      </c>
      <c r="D3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2" s="77">
        <f>'Cash Flow Model'!I23</f>
        <v>118129</v>
      </c>
      <c r="F32" s="82">
        <v>7</v>
      </c>
      <c r="G32" s="81" t="s">
        <v>194</v>
      </c>
      <c r="H32" s="81" t="s">
        <v>68</v>
      </c>
    </row>
    <row r="33" spans="1:8" ht="15" customHeight="1" x14ac:dyDescent="0.25">
      <c r="A33" s="83" t="s">
        <v>195</v>
      </c>
      <c r="B33" s="83" t="s">
        <v>229</v>
      </c>
      <c r="C33" s="83" t="s">
        <v>230</v>
      </c>
      <c r="D3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3" s="85">
        <f>'Cash Flow Model'!J23</f>
        <v>116962</v>
      </c>
      <c r="F33" s="86">
        <v>8</v>
      </c>
      <c r="G33" s="84" t="s">
        <v>196</v>
      </c>
      <c r="H33" s="84" t="s">
        <v>68</v>
      </c>
    </row>
    <row r="34" spans="1:8" ht="15" customHeight="1" x14ac:dyDescent="0.25">
      <c r="A34" s="80" t="s">
        <v>197</v>
      </c>
      <c r="B34" s="80" t="s">
        <v>229</v>
      </c>
      <c r="C34" s="80" t="s">
        <v>230</v>
      </c>
      <c r="D3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4" s="77">
        <f>'Cash Flow Model'!K23</f>
        <v>131742</v>
      </c>
      <c r="F34" s="82">
        <v>9</v>
      </c>
      <c r="G34" s="81" t="s">
        <v>198</v>
      </c>
      <c r="H34" s="81" t="s">
        <v>68</v>
      </c>
    </row>
    <row r="35" spans="1:8" ht="15" customHeight="1" x14ac:dyDescent="0.25">
      <c r="A35" s="83" t="s">
        <v>199</v>
      </c>
      <c r="B35" s="83" t="s">
        <v>229</v>
      </c>
      <c r="C35" s="83" t="s">
        <v>230</v>
      </c>
      <c r="D3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5" s="85">
        <f>'Cash Flow Model'!L23</f>
        <v>131227</v>
      </c>
      <c r="F35" s="86">
        <v>10</v>
      </c>
      <c r="G35" s="84" t="s">
        <v>200</v>
      </c>
      <c r="H35" s="84" t="s">
        <v>68</v>
      </c>
    </row>
    <row r="36" spans="1:8" ht="15" customHeight="1" x14ac:dyDescent="0.25">
      <c r="A36" s="80" t="s">
        <v>201</v>
      </c>
      <c r="B36" s="80" t="s">
        <v>229</v>
      </c>
      <c r="C36" s="80" t="s">
        <v>230</v>
      </c>
      <c r="D3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6" s="77">
        <f>'Cash Flow Model'!M23</f>
        <v>133059</v>
      </c>
      <c r="F36" s="82">
        <v>11</v>
      </c>
      <c r="G36" s="81" t="s">
        <v>202</v>
      </c>
      <c r="H36" s="81" t="s">
        <v>68</v>
      </c>
    </row>
    <row r="37" spans="1:8" ht="15" customHeight="1" x14ac:dyDescent="0.25">
      <c r="A37" s="83" t="s">
        <v>203</v>
      </c>
      <c r="B37" s="83" t="s">
        <v>229</v>
      </c>
      <c r="C37" s="83" t="s">
        <v>230</v>
      </c>
      <c r="D3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7" s="85">
        <f>'Cash Flow Model'!N23</f>
        <v>133078</v>
      </c>
      <c r="F37" s="86">
        <v>12</v>
      </c>
      <c r="G37" s="84" t="s">
        <v>204</v>
      </c>
      <c r="H37" s="84" t="s">
        <v>68</v>
      </c>
    </row>
    <row r="38" spans="1:8" ht="15" customHeight="1" x14ac:dyDescent="0.25">
      <c r="A38" s="80" t="s">
        <v>205</v>
      </c>
      <c r="B38" s="80" t="s">
        <v>229</v>
      </c>
      <c r="C38" s="80" t="s">
        <v>230</v>
      </c>
      <c r="D3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8" s="77">
        <f>'Cash Flow Model'!O23</f>
        <v>133329</v>
      </c>
      <c r="F38" s="82">
        <v>13</v>
      </c>
      <c r="G38" s="81" t="s">
        <v>206</v>
      </c>
      <c r="H38" s="81" t="s">
        <v>68</v>
      </c>
    </row>
    <row r="39" spans="1:8" ht="15" customHeight="1" x14ac:dyDescent="0.25">
      <c r="A39" s="83" t="s">
        <v>207</v>
      </c>
      <c r="B39" s="83" t="s">
        <v>229</v>
      </c>
      <c r="C39" s="83" t="s">
        <v>230</v>
      </c>
      <c r="D3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39" s="85">
        <f>'Cash Flow Model'!P23</f>
        <v>133815</v>
      </c>
      <c r="F39" s="86">
        <v>14</v>
      </c>
      <c r="G39" s="84" t="s">
        <v>208</v>
      </c>
      <c r="H39" s="84" t="s">
        <v>68</v>
      </c>
    </row>
    <row r="40" spans="1:8" ht="15" customHeight="1" x14ac:dyDescent="0.25">
      <c r="A40" s="80" t="s">
        <v>209</v>
      </c>
      <c r="B40" s="80" t="s">
        <v>229</v>
      </c>
      <c r="C40" s="80" t="s">
        <v>230</v>
      </c>
      <c r="D4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0" s="77">
        <f>'Cash Flow Model'!Q23</f>
        <v>134508</v>
      </c>
      <c r="F40" s="82">
        <v>15</v>
      </c>
      <c r="G40" s="81" t="s">
        <v>210</v>
      </c>
      <c r="H40" s="81" t="s">
        <v>68</v>
      </c>
    </row>
    <row r="41" spans="1:8" ht="15" customHeight="1" x14ac:dyDescent="0.25">
      <c r="A41" s="83" t="s">
        <v>211</v>
      </c>
      <c r="B41" s="83" t="s">
        <v>229</v>
      </c>
      <c r="C41" s="83" t="s">
        <v>230</v>
      </c>
      <c r="D4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1" s="85">
        <f>'Cash Flow Model'!R23</f>
        <v>135382</v>
      </c>
      <c r="F41" s="86">
        <v>16</v>
      </c>
      <c r="G41" s="84" t="s">
        <v>212</v>
      </c>
      <c r="H41" s="84" t="s">
        <v>68</v>
      </c>
    </row>
    <row r="42" spans="1:8" ht="15" customHeight="1" x14ac:dyDescent="0.25">
      <c r="A42" s="80" t="s">
        <v>213</v>
      </c>
      <c r="B42" s="80" t="s">
        <v>229</v>
      </c>
      <c r="C42" s="80" t="s">
        <v>230</v>
      </c>
      <c r="D4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2" s="77">
        <f>'Cash Flow Model'!S23</f>
        <v>136445</v>
      </c>
      <c r="F42" s="82">
        <v>17</v>
      </c>
      <c r="G42" s="81" t="s">
        <v>214</v>
      </c>
      <c r="H42" s="81" t="s">
        <v>68</v>
      </c>
    </row>
    <row r="43" spans="1:8" ht="15" customHeight="1" x14ac:dyDescent="0.25">
      <c r="A43" s="83" t="s">
        <v>215</v>
      </c>
      <c r="B43" s="83" t="s">
        <v>229</v>
      </c>
      <c r="C43" s="83" t="s">
        <v>230</v>
      </c>
      <c r="D4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3" s="85">
        <f>'Cash Flow Model'!T23</f>
        <v>137673</v>
      </c>
      <c r="F43" s="86">
        <v>18</v>
      </c>
      <c r="G43" s="84" t="s">
        <v>216</v>
      </c>
      <c r="H43" s="84" t="s">
        <v>68</v>
      </c>
    </row>
    <row r="44" spans="1:8" ht="15" customHeight="1" x14ac:dyDescent="0.25">
      <c r="A44" s="80" t="s">
        <v>217</v>
      </c>
      <c r="B44" s="80" t="s">
        <v>229</v>
      </c>
      <c r="C44" s="80" t="s">
        <v>230</v>
      </c>
      <c r="D4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4" s="77">
        <f>'Cash Flow Model'!U23</f>
        <v>139078</v>
      </c>
      <c r="F44" s="82">
        <v>19</v>
      </c>
      <c r="G44" s="81" t="s">
        <v>218</v>
      </c>
      <c r="H44" s="81" t="s">
        <v>68</v>
      </c>
    </row>
    <row r="45" spans="1:8" ht="15" customHeight="1" x14ac:dyDescent="0.25">
      <c r="A45" s="83" t="s">
        <v>219</v>
      </c>
      <c r="B45" s="83" t="s">
        <v>229</v>
      </c>
      <c r="C45" s="83" t="s">
        <v>230</v>
      </c>
      <c r="D4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5" s="85">
        <f>'Cash Flow Model'!V23</f>
        <v>140636</v>
      </c>
      <c r="F45" s="86">
        <v>20</v>
      </c>
      <c r="G45" s="84" t="s">
        <v>220</v>
      </c>
      <c r="H45" s="84" t="s">
        <v>68</v>
      </c>
    </row>
    <row r="46" spans="1:8" ht="15" customHeight="1" x14ac:dyDescent="0.25">
      <c r="A46" s="80" t="s">
        <v>221</v>
      </c>
      <c r="B46" s="80" t="s">
        <v>229</v>
      </c>
      <c r="C46" s="80" t="s">
        <v>230</v>
      </c>
      <c r="D4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6" s="77">
        <f>'Cash Flow Model'!W23</f>
        <v>142359</v>
      </c>
      <c r="F46" s="82">
        <v>21</v>
      </c>
      <c r="G46" s="81" t="s">
        <v>222</v>
      </c>
      <c r="H46" s="81" t="s">
        <v>68</v>
      </c>
    </row>
    <row r="47" spans="1:8" ht="15" customHeight="1" x14ac:dyDescent="0.25">
      <c r="A47" s="83" t="s">
        <v>223</v>
      </c>
      <c r="B47" s="83" t="s">
        <v>229</v>
      </c>
      <c r="C47" s="83" t="s">
        <v>230</v>
      </c>
      <c r="D4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7" s="85">
        <f>'Cash Flow Model'!X23</f>
        <v>144257</v>
      </c>
      <c r="F47" s="86">
        <v>22</v>
      </c>
      <c r="G47" s="84" t="s">
        <v>224</v>
      </c>
      <c r="H47" s="84" t="s">
        <v>68</v>
      </c>
    </row>
    <row r="48" spans="1:8" ht="15" customHeight="1" x14ac:dyDescent="0.25">
      <c r="A48" s="80" t="s">
        <v>225</v>
      </c>
      <c r="B48" s="80" t="s">
        <v>229</v>
      </c>
      <c r="C48" s="80" t="s">
        <v>230</v>
      </c>
      <c r="D4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8" s="77">
        <f>'Cash Flow Model'!Y23</f>
        <v>146307</v>
      </c>
      <c r="F48" s="82">
        <v>23</v>
      </c>
      <c r="G48" s="81" t="s">
        <v>226</v>
      </c>
      <c r="H48" s="81" t="s">
        <v>68</v>
      </c>
    </row>
    <row r="49" spans="1:8" ht="15" customHeight="1" x14ac:dyDescent="0.25">
      <c r="A49" s="83" t="s">
        <v>227</v>
      </c>
      <c r="B49" s="83" t="s">
        <v>229</v>
      </c>
      <c r="C49" s="83" t="s">
        <v>230</v>
      </c>
      <c r="D4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49" s="85">
        <f>'Cash Flow Model'!Z23</f>
        <v>148522</v>
      </c>
      <c r="F49" s="86">
        <v>24</v>
      </c>
      <c r="G49" s="84" t="s">
        <v>228</v>
      </c>
      <c r="H49" s="84" t="s">
        <v>68</v>
      </c>
    </row>
    <row r="50" spans="1:8" ht="15" customHeight="1" x14ac:dyDescent="0.25">
      <c r="A50" s="80" t="s">
        <v>179</v>
      </c>
      <c r="B50" s="80" t="s">
        <v>231</v>
      </c>
      <c r="C50" s="80" t="s">
        <v>232</v>
      </c>
      <c r="D5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0" s="77">
        <f>'Cash Flow Model'!C25</f>
        <v>-108080</v>
      </c>
      <c r="F50" s="82">
        <v>1</v>
      </c>
      <c r="G50" s="81" t="s">
        <v>182</v>
      </c>
      <c r="H50" s="81" t="s">
        <v>68</v>
      </c>
    </row>
    <row r="51" spans="1:8" ht="15" customHeight="1" x14ac:dyDescent="0.25">
      <c r="A51" s="83" t="s">
        <v>183</v>
      </c>
      <c r="B51" s="83" t="s">
        <v>231</v>
      </c>
      <c r="C51" s="83" t="s">
        <v>232</v>
      </c>
      <c r="D5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1" s="85">
        <f>'Cash Flow Model'!D25</f>
        <v>9984</v>
      </c>
      <c r="F51" s="86">
        <v>2</v>
      </c>
      <c r="G51" s="84" t="s">
        <v>184</v>
      </c>
      <c r="H51" s="84" t="s">
        <v>68</v>
      </c>
    </row>
    <row r="52" spans="1:8" ht="15" customHeight="1" x14ac:dyDescent="0.25">
      <c r="A52" s="80" t="s">
        <v>185</v>
      </c>
      <c r="B52" s="80" t="s">
        <v>231</v>
      </c>
      <c r="C52" s="80" t="s">
        <v>232</v>
      </c>
      <c r="D5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2" s="77">
        <f>'Cash Flow Model'!E25</f>
        <v>16495</v>
      </c>
      <c r="F52" s="82">
        <v>3</v>
      </c>
      <c r="G52" s="81" t="s">
        <v>186</v>
      </c>
      <c r="H52" s="81" t="s">
        <v>68</v>
      </c>
    </row>
    <row r="53" spans="1:8" ht="15" customHeight="1" x14ac:dyDescent="0.25">
      <c r="A53" s="83" t="s">
        <v>187</v>
      </c>
      <c r="B53" s="83" t="s">
        <v>231</v>
      </c>
      <c r="C53" s="83" t="s">
        <v>232</v>
      </c>
      <c r="D5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3" s="85">
        <f>'Cash Flow Model'!F25</f>
        <v>23016</v>
      </c>
      <c r="F53" s="86">
        <v>4</v>
      </c>
      <c r="G53" s="84" t="s">
        <v>188</v>
      </c>
      <c r="H53" s="84" t="s">
        <v>68</v>
      </c>
    </row>
    <row r="54" spans="1:8" ht="15" customHeight="1" x14ac:dyDescent="0.25">
      <c r="A54" s="80" t="s">
        <v>189</v>
      </c>
      <c r="B54" s="80" t="s">
        <v>231</v>
      </c>
      <c r="C54" s="80" t="s">
        <v>232</v>
      </c>
      <c r="D5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4" s="77">
        <f>'Cash Flow Model'!G25</f>
        <v>29654</v>
      </c>
      <c r="F54" s="82">
        <v>5</v>
      </c>
      <c r="G54" s="81" t="s">
        <v>190</v>
      </c>
      <c r="H54" s="81" t="s">
        <v>68</v>
      </c>
    </row>
    <row r="55" spans="1:8" ht="15" customHeight="1" x14ac:dyDescent="0.25">
      <c r="A55" s="83" t="s">
        <v>191</v>
      </c>
      <c r="B55" s="83" t="s">
        <v>231</v>
      </c>
      <c r="C55" s="83" t="s">
        <v>232</v>
      </c>
      <c r="D5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5" s="85">
        <f>'Cash Flow Model'!H25</f>
        <v>36626</v>
      </c>
      <c r="F55" s="86">
        <v>6</v>
      </c>
      <c r="G55" s="84" t="s">
        <v>192</v>
      </c>
      <c r="H55" s="84" t="s">
        <v>68</v>
      </c>
    </row>
    <row r="56" spans="1:8" ht="15" customHeight="1" x14ac:dyDescent="0.25">
      <c r="A56" s="80" t="s">
        <v>193</v>
      </c>
      <c r="B56" s="80" t="s">
        <v>231</v>
      </c>
      <c r="C56" s="80" t="s">
        <v>232</v>
      </c>
      <c r="D5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6" s="77">
        <f>'Cash Flow Model'!I25</f>
        <v>48258</v>
      </c>
      <c r="F56" s="82">
        <v>7</v>
      </c>
      <c r="G56" s="81" t="s">
        <v>194</v>
      </c>
      <c r="H56" s="81" t="s">
        <v>68</v>
      </c>
    </row>
    <row r="57" spans="1:8" ht="15" customHeight="1" x14ac:dyDescent="0.25">
      <c r="A57" s="83" t="s">
        <v>195</v>
      </c>
      <c r="B57" s="83" t="s">
        <v>231</v>
      </c>
      <c r="C57" s="83" t="s">
        <v>232</v>
      </c>
      <c r="D5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7" s="85">
        <f>'Cash Flow Model'!J25</f>
        <v>43539</v>
      </c>
      <c r="F57" s="86">
        <v>8</v>
      </c>
      <c r="G57" s="84" t="s">
        <v>196</v>
      </c>
      <c r="H57" s="84" t="s">
        <v>68</v>
      </c>
    </row>
    <row r="58" spans="1:8" ht="15" customHeight="1" x14ac:dyDescent="0.25">
      <c r="A58" s="80" t="s">
        <v>197</v>
      </c>
      <c r="B58" s="80" t="s">
        <v>231</v>
      </c>
      <c r="C58" s="80" t="s">
        <v>232</v>
      </c>
      <c r="D5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8" s="77">
        <f>'Cash Flow Model'!K25</f>
        <v>24239</v>
      </c>
      <c r="F58" s="82">
        <v>9</v>
      </c>
      <c r="G58" s="81" t="s">
        <v>198</v>
      </c>
      <c r="H58" s="81" t="s">
        <v>68</v>
      </c>
    </row>
    <row r="59" spans="1:8" ht="15" customHeight="1" x14ac:dyDescent="0.25">
      <c r="A59" s="83" t="s">
        <v>199</v>
      </c>
      <c r="B59" s="83" t="s">
        <v>231</v>
      </c>
      <c r="C59" s="83" t="s">
        <v>232</v>
      </c>
      <c r="D5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59" s="85">
        <f>'Cash Flow Model'!L25</f>
        <v>21546</v>
      </c>
      <c r="F59" s="86">
        <v>10</v>
      </c>
      <c r="G59" s="84" t="s">
        <v>200</v>
      </c>
      <c r="H59" s="84" t="s">
        <v>68</v>
      </c>
    </row>
    <row r="60" spans="1:8" ht="15" customHeight="1" x14ac:dyDescent="0.25">
      <c r="A60" s="80" t="s">
        <v>201</v>
      </c>
      <c r="B60" s="80" t="s">
        <v>231</v>
      </c>
      <c r="C60" s="80" t="s">
        <v>232</v>
      </c>
      <c r="D6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0" s="77">
        <f>'Cash Flow Model'!M25</f>
        <v>17661</v>
      </c>
      <c r="F60" s="82">
        <v>11</v>
      </c>
      <c r="G60" s="81" t="s">
        <v>202</v>
      </c>
      <c r="H60" s="81" t="s">
        <v>68</v>
      </c>
    </row>
    <row r="61" spans="1:8" ht="15" customHeight="1" x14ac:dyDescent="0.25">
      <c r="A61" s="83" t="s">
        <v>203</v>
      </c>
      <c r="B61" s="83" t="s">
        <v>231</v>
      </c>
      <c r="C61" s="83" t="s">
        <v>232</v>
      </c>
      <c r="D6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1" s="85">
        <f>'Cash Flow Model'!N25</f>
        <v>16606</v>
      </c>
      <c r="F61" s="86">
        <v>12</v>
      </c>
      <c r="G61" s="84" t="s">
        <v>204</v>
      </c>
      <c r="H61" s="84" t="s">
        <v>68</v>
      </c>
    </row>
    <row r="62" spans="1:8" ht="15" customHeight="1" x14ac:dyDescent="0.25">
      <c r="A62" s="80" t="s">
        <v>205</v>
      </c>
      <c r="B62" s="80" t="s">
        <v>231</v>
      </c>
      <c r="C62" s="80" t="s">
        <v>232</v>
      </c>
      <c r="D6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2" s="77">
        <f>'Cash Flow Model'!O25</f>
        <v>16323</v>
      </c>
      <c r="F62" s="82">
        <v>13</v>
      </c>
      <c r="G62" s="81" t="s">
        <v>206</v>
      </c>
      <c r="H62" s="81" t="s">
        <v>68</v>
      </c>
    </row>
    <row r="63" spans="1:8" ht="15" customHeight="1" x14ac:dyDescent="0.25">
      <c r="A63" s="83" t="s">
        <v>207</v>
      </c>
      <c r="B63" s="83" t="s">
        <v>231</v>
      </c>
      <c r="C63" s="83" t="s">
        <v>232</v>
      </c>
      <c r="D6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3" s="85">
        <f>'Cash Flow Model'!P25</f>
        <v>16689</v>
      </c>
      <c r="F63" s="86">
        <v>14</v>
      </c>
      <c r="G63" s="84" t="s">
        <v>208</v>
      </c>
      <c r="H63" s="84" t="s">
        <v>68</v>
      </c>
    </row>
    <row r="64" spans="1:8" ht="15" customHeight="1" x14ac:dyDescent="0.25">
      <c r="A64" s="80" t="s">
        <v>209</v>
      </c>
      <c r="B64" s="80" t="s">
        <v>231</v>
      </c>
      <c r="C64" s="80" t="s">
        <v>232</v>
      </c>
      <c r="D6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4" s="77">
        <f>'Cash Flow Model'!Q25</f>
        <v>17736</v>
      </c>
      <c r="F64" s="82">
        <v>15</v>
      </c>
      <c r="G64" s="81" t="s">
        <v>210</v>
      </c>
      <c r="H64" s="81" t="s">
        <v>68</v>
      </c>
    </row>
    <row r="65" spans="1:8" ht="15" customHeight="1" x14ac:dyDescent="0.25">
      <c r="A65" s="83" t="s">
        <v>211</v>
      </c>
      <c r="B65" s="83" t="s">
        <v>231</v>
      </c>
      <c r="C65" s="83" t="s">
        <v>232</v>
      </c>
      <c r="D6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5" s="85">
        <f>'Cash Flow Model'!R25</f>
        <v>19383</v>
      </c>
      <c r="F65" s="86">
        <v>16</v>
      </c>
      <c r="G65" s="84" t="s">
        <v>212</v>
      </c>
      <c r="H65" s="84" t="s">
        <v>68</v>
      </c>
    </row>
    <row r="66" spans="1:8" ht="15" customHeight="1" x14ac:dyDescent="0.25">
      <c r="A66" s="80" t="s">
        <v>213</v>
      </c>
      <c r="B66" s="80" t="s">
        <v>231</v>
      </c>
      <c r="C66" s="80" t="s">
        <v>232</v>
      </c>
      <c r="D6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6" s="77">
        <f>'Cash Flow Model'!S25</f>
        <v>21528</v>
      </c>
      <c r="F66" s="82">
        <v>17</v>
      </c>
      <c r="G66" s="81" t="s">
        <v>214</v>
      </c>
      <c r="H66" s="81" t="s">
        <v>68</v>
      </c>
    </row>
    <row r="67" spans="1:8" ht="15" customHeight="1" x14ac:dyDescent="0.25">
      <c r="A67" s="83" t="s">
        <v>215</v>
      </c>
      <c r="B67" s="83" t="s">
        <v>231</v>
      </c>
      <c r="C67" s="83" t="s">
        <v>232</v>
      </c>
      <c r="D6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7" s="85">
        <f>'Cash Flow Model'!T25</f>
        <v>24223</v>
      </c>
      <c r="F67" s="86">
        <v>18</v>
      </c>
      <c r="G67" s="84" t="s">
        <v>216</v>
      </c>
      <c r="H67" s="84" t="s">
        <v>68</v>
      </c>
    </row>
    <row r="68" spans="1:8" ht="15" customHeight="1" x14ac:dyDescent="0.25">
      <c r="A68" s="80" t="s">
        <v>217</v>
      </c>
      <c r="B68" s="80" t="s">
        <v>231</v>
      </c>
      <c r="C68" s="80" t="s">
        <v>232</v>
      </c>
      <c r="D6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8" s="77">
        <f>'Cash Flow Model'!U25</f>
        <v>27370</v>
      </c>
      <c r="F68" s="82">
        <v>19</v>
      </c>
      <c r="G68" s="81" t="s">
        <v>218</v>
      </c>
      <c r="H68" s="81" t="s">
        <v>68</v>
      </c>
    </row>
    <row r="69" spans="1:8" ht="15" customHeight="1" x14ac:dyDescent="0.25">
      <c r="A69" s="83" t="s">
        <v>219</v>
      </c>
      <c r="B69" s="83" t="s">
        <v>231</v>
      </c>
      <c r="C69" s="83" t="s">
        <v>232</v>
      </c>
      <c r="D6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69" s="85">
        <f>'Cash Flow Model'!V25</f>
        <v>31028</v>
      </c>
      <c r="F69" s="86">
        <v>20</v>
      </c>
      <c r="G69" s="84" t="s">
        <v>220</v>
      </c>
      <c r="H69" s="84" t="s">
        <v>68</v>
      </c>
    </row>
    <row r="70" spans="1:8" ht="15" customHeight="1" x14ac:dyDescent="0.25">
      <c r="A70" s="80" t="s">
        <v>221</v>
      </c>
      <c r="B70" s="80" t="s">
        <v>231</v>
      </c>
      <c r="C70" s="80" t="s">
        <v>232</v>
      </c>
      <c r="D7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0" s="77">
        <f>'Cash Flow Model'!W25</f>
        <v>35105</v>
      </c>
      <c r="F70" s="82">
        <v>21</v>
      </c>
      <c r="G70" s="81" t="s">
        <v>222</v>
      </c>
      <c r="H70" s="81" t="s">
        <v>68</v>
      </c>
    </row>
    <row r="71" spans="1:8" ht="15" customHeight="1" x14ac:dyDescent="0.25">
      <c r="A71" s="83" t="s">
        <v>223</v>
      </c>
      <c r="B71" s="83" t="s">
        <v>231</v>
      </c>
      <c r="C71" s="83" t="s">
        <v>232</v>
      </c>
      <c r="D7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1" s="85">
        <f>'Cash Flow Model'!X25</f>
        <v>39631</v>
      </c>
      <c r="F71" s="86">
        <v>22</v>
      </c>
      <c r="G71" s="84" t="s">
        <v>224</v>
      </c>
      <c r="H71" s="84" t="s">
        <v>68</v>
      </c>
    </row>
    <row r="72" spans="1:8" ht="15" customHeight="1" x14ac:dyDescent="0.25">
      <c r="A72" s="80" t="s">
        <v>225</v>
      </c>
      <c r="B72" s="80" t="s">
        <v>231</v>
      </c>
      <c r="C72" s="80" t="s">
        <v>232</v>
      </c>
      <c r="D7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2" s="77">
        <f>'Cash Flow Model'!Y25</f>
        <v>44664</v>
      </c>
      <c r="F72" s="82">
        <v>23</v>
      </c>
      <c r="G72" s="81" t="s">
        <v>226</v>
      </c>
      <c r="H72" s="81" t="s">
        <v>68</v>
      </c>
    </row>
    <row r="73" spans="1:8" ht="15" customHeight="1" x14ac:dyDescent="0.25">
      <c r="A73" s="83" t="s">
        <v>227</v>
      </c>
      <c r="B73" s="83" t="s">
        <v>231</v>
      </c>
      <c r="C73" s="83" t="s">
        <v>232</v>
      </c>
      <c r="D7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3" s="85">
        <f>'Cash Flow Model'!Z25</f>
        <v>50112</v>
      </c>
      <c r="F73" s="86">
        <v>24</v>
      </c>
      <c r="G73" s="84" t="s">
        <v>228</v>
      </c>
      <c r="H73" s="84" t="s">
        <v>68</v>
      </c>
    </row>
    <row r="74" spans="1:8" ht="15" customHeight="1" x14ac:dyDescent="0.25">
      <c r="A74" s="80" t="s">
        <v>179</v>
      </c>
      <c r="B74" s="80" t="s">
        <v>233</v>
      </c>
      <c r="C74" s="80" t="s">
        <v>234</v>
      </c>
      <c r="D7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4" s="77">
        <f>'Cash Flow Model'!C26</f>
        <v>391920</v>
      </c>
      <c r="F74" s="82">
        <v>1</v>
      </c>
      <c r="G74" s="81" t="s">
        <v>182</v>
      </c>
      <c r="H74" s="81" t="s">
        <v>68</v>
      </c>
    </row>
    <row r="75" spans="1:8" ht="15" customHeight="1" x14ac:dyDescent="0.25">
      <c r="A75" s="83" t="s">
        <v>183</v>
      </c>
      <c r="B75" s="83" t="s">
        <v>233</v>
      </c>
      <c r="C75" s="83" t="s">
        <v>234</v>
      </c>
      <c r="D7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5" s="85">
        <f>'Cash Flow Model'!D26</f>
        <v>401904</v>
      </c>
      <c r="F75" s="86">
        <v>2</v>
      </c>
      <c r="G75" s="84" t="s">
        <v>184</v>
      </c>
      <c r="H75" s="84" t="s">
        <v>68</v>
      </c>
    </row>
    <row r="76" spans="1:8" ht="15" customHeight="1" x14ac:dyDescent="0.25">
      <c r="A76" s="80" t="s">
        <v>185</v>
      </c>
      <c r="B76" s="80" t="s">
        <v>233</v>
      </c>
      <c r="C76" s="80" t="s">
        <v>234</v>
      </c>
      <c r="D7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6" s="77">
        <f>'Cash Flow Model'!E26</f>
        <v>418399</v>
      </c>
      <c r="F76" s="82">
        <v>3</v>
      </c>
      <c r="G76" s="81" t="s">
        <v>186</v>
      </c>
      <c r="H76" s="81" t="s">
        <v>68</v>
      </c>
    </row>
    <row r="77" spans="1:8" ht="15" customHeight="1" x14ac:dyDescent="0.25">
      <c r="A77" s="83" t="s">
        <v>187</v>
      </c>
      <c r="B77" s="83" t="s">
        <v>233</v>
      </c>
      <c r="C77" s="83" t="s">
        <v>234</v>
      </c>
      <c r="D7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7" s="85">
        <f>'Cash Flow Model'!F26</f>
        <v>441415</v>
      </c>
      <c r="F77" s="86">
        <v>4</v>
      </c>
      <c r="G77" s="84" t="s">
        <v>188</v>
      </c>
      <c r="H77" s="84" t="s">
        <v>68</v>
      </c>
    </row>
    <row r="78" spans="1:8" ht="15" customHeight="1" x14ac:dyDescent="0.25">
      <c r="A78" s="80" t="s">
        <v>189</v>
      </c>
      <c r="B78" s="80" t="s">
        <v>233</v>
      </c>
      <c r="C78" s="80" t="s">
        <v>234</v>
      </c>
      <c r="D7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8" s="77">
        <f>'Cash Flow Model'!G26</f>
        <v>471069</v>
      </c>
      <c r="F78" s="82">
        <v>5</v>
      </c>
      <c r="G78" s="81" t="s">
        <v>190</v>
      </c>
      <c r="H78" s="81" t="s">
        <v>68</v>
      </c>
    </row>
    <row r="79" spans="1:8" ht="15" customHeight="1" x14ac:dyDescent="0.25">
      <c r="A79" s="83" t="s">
        <v>191</v>
      </c>
      <c r="B79" s="83" t="s">
        <v>233</v>
      </c>
      <c r="C79" s="83" t="s">
        <v>234</v>
      </c>
      <c r="D7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79" s="85">
        <f>'Cash Flow Model'!H26</f>
        <v>507695</v>
      </c>
      <c r="F79" s="86">
        <v>6</v>
      </c>
      <c r="G79" s="84" t="s">
        <v>192</v>
      </c>
      <c r="H79" s="84" t="s">
        <v>68</v>
      </c>
    </row>
    <row r="80" spans="1:8" ht="15" customHeight="1" x14ac:dyDescent="0.25">
      <c r="A80" s="80" t="s">
        <v>193</v>
      </c>
      <c r="B80" s="80" t="s">
        <v>233</v>
      </c>
      <c r="C80" s="80" t="s">
        <v>234</v>
      </c>
      <c r="D8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0" s="77">
        <f>'Cash Flow Model'!I26</f>
        <v>555953</v>
      </c>
      <c r="F80" s="82">
        <v>7</v>
      </c>
      <c r="G80" s="81" t="s">
        <v>194</v>
      </c>
      <c r="H80" s="81" t="s">
        <v>68</v>
      </c>
    </row>
    <row r="81" spans="1:8" ht="15" customHeight="1" x14ac:dyDescent="0.25">
      <c r="A81" s="83" t="s">
        <v>195</v>
      </c>
      <c r="B81" s="83" t="s">
        <v>233</v>
      </c>
      <c r="C81" s="83" t="s">
        <v>234</v>
      </c>
      <c r="D8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1" s="85">
        <f>'Cash Flow Model'!J26</f>
        <v>599492</v>
      </c>
      <c r="F81" s="86">
        <v>8</v>
      </c>
      <c r="G81" s="84" t="s">
        <v>196</v>
      </c>
      <c r="H81" s="84" t="s">
        <v>68</v>
      </c>
    </row>
    <row r="82" spans="1:8" ht="15" customHeight="1" x14ac:dyDescent="0.25">
      <c r="A82" s="80" t="s">
        <v>197</v>
      </c>
      <c r="B82" s="80" t="s">
        <v>233</v>
      </c>
      <c r="C82" s="80" t="s">
        <v>234</v>
      </c>
      <c r="D8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2" s="77">
        <f>'Cash Flow Model'!K26</f>
        <v>623731</v>
      </c>
      <c r="F82" s="82">
        <v>9</v>
      </c>
      <c r="G82" s="81" t="s">
        <v>198</v>
      </c>
      <c r="H82" s="81" t="s">
        <v>68</v>
      </c>
    </row>
    <row r="83" spans="1:8" ht="15" customHeight="1" x14ac:dyDescent="0.25">
      <c r="A83" s="83" t="s">
        <v>199</v>
      </c>
      <c r="B83" s="83" t="s">
        <v>233</v>
      </c>
      <c r="C83" s="83" t="s">
        <v>234</v>
      </c>
      <c r="D8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3" s="85">
        <f>'Cash Flow Model'!L26</f>
        <v>645277</v>
      </c>
      <c r="F83" s="86">
        <v>10</v>
      </c>
      <c r="G83" s="84" t="s">
        <v>200</v>
      </c>
      <c r="H83" s="84" t="s">
        <v>68</v>
      </c>
    </row>
    <row r="84" spans="1:8" ht="15" customHeight="1" x14ac:dyDescent="0.25">
      <c r="A84" s="80" t="s">
        <v>201</v>
      </c>
      <c r="B84" s="80" t="s">
        <v>233</v>
      </c>
      <c r="C84" s="80" t="s">
        <v>234</v>
      </c>
      <c r="D8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4" s="77">
        <f>'Cash Flow Model'!M26</f>
        <v>662938</v>
      </c>
      <c r="F84" s="82">
        <v>11</v>
      </c>
      <c r="G84" s="81" t="s">
        <v>202</v>
      </c>
      <c r="H84" s="81" t="s">
        <v>68</v>
      </c>
    </row>
    <row r="85" spans="1:8" ht="15" customHeight="1" x14ac:dyDescent="0.25">
      <c r="A85" s="83" t="s">
        <v>203</v>
      </c>
      <c r="B85" s="83" t="s">
        <v>233</v>
      </c>
      <c r="C85" s="83" t="s">
        <v>234</v>
      </c>
      <c r="D8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5" s="85">
        <f>'Cash Flow Model'!N26</f>
        <v>679544</v>
      </c>
      <c r="F85" s="86">
        <v>12</v>
      </c>
      <c r="G85" s="84" t="s">
        <v>204</v>
      </c>
      <c r="H85" s="84" t="s">
        <v>68</v>
      </c>
    </row>
    <row r="86" spans="1:8" ht="15" customHeight="1" x14ac:dyDescent="0.25">
      <c r="A86" s="80" t="s">
        <v>205</v>
      </c>
      <c r="B86" s="80" t="s">
        <v>233</v>
      </c>
      <c r="C86" s="80" t="s">
        <v>234</v>
      </c>
      <c r="D8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6" s="77">
        <f>'Cash Flow Model'!O26</f>
        <v>695867</v>
      </c>
      <c r="F86" s="82">
        <v>13</v>
      </c>
      <c r="G86" s="81" t="s">
        <v>206</v>
      </c>
      <c r="H86" s="81" t="s">
        <v>68</v>
      </c>
    </row>
    <row r="87" spans="1:8" ht="15" customHeight="1" x14ac:dyDescent="0.25">
      <c r="A87" s="83" t="s">
        <v>207</v>
      </c>
      <c r="B87" s="83" t="s">
        <v>233</v>
      </c>
      <c r="C87" s="83" t="s">
        <v>234</v>
      </c>
      <c r="D8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7" s="85">
        <f>'Cash Flow Model'!P26</f>
        <v>712556</v>
      </c>
      <c r="F87" s="86">
        <v>14</v>
      </c>
      <c r="G87" s="84" t="s">
        <v>208</v>
      </c>
      <c r="H87" s="84" t="s">
        <v>68</v>
      </c>
    </row>
    <row r="88" spans="1:8" ht="15" customHeight="1" x14ac:dyDescent="0.25">
      <c r="A88" s="80" t="s">
        <v>209</v>
      </c>
      <c r="B88" s="80" t="s">
        <v>233</v>
      </c>
      <c r="C88" s="80" t="s">
        <v>234</v>
      </c>
      <c r="D8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8" s="77">
        <f>'Cash Flow Model'!Q26</f>
        <v>730292</v>
      </c>
      <c r="F88" s="82">
        <v>15</v>
      </c>
      <c r="G88" s="81" t="s">
        <v>210</v>
      </c>
      <c r="H88" s="81" t="s">
        <v>68</v>
      </c>
    </row>
    <row r="89" spans="1:8" ht="15" customHeight="1" x14ac:dyDescent="0.25">
      <c r="A89" s="83" t="s">
        <v>211</v>
      </c>
      <c r="B89" s="83" t="s">
        <v>233</v>
      </c>
      <c r="C89" s="83" t="s">
        <v>234</v>
      </c>
      <c r="D8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89" s="85">
        <f>'Cash Flow Model'!R26</f>
        <v>749675</v>
      </c>
      <c r="F89" s="86">
        <v>16</v>
      </c>
      <c r="G89" s="84" t="s">
        <v>212</v>
      </c>
      <c r="H89" s="84" t="s">
        <v>68</v>
      </c>
    </row>
    <row r="90" spans="1:8" ht="15" customHeight="1" x14ac:dyDescent="0.25">
      <c r="A90" s="80" t="s">
        <v>213</v>
      </c>
      <c r="B90" s="80" t="s">
        <v>233</v>
      </c>
      <c r="C90" s="80" t="s">
        <v>234</v>
      </c>
      <c r="D9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0" s="77">
        <f>'Cash Flow Model'!S26</f>
        <v>771203</v>
      </c>
      <c r="F90" s="82">
        <v>17</v>
      </c>
      <c r="G90" s="81" t="s">
        <v>214</v>
      </c>
      <c r="H90" s="81" t="s">
        <v>68</v>
      </c>
    </row>
    <row r="91" spans="1:8" ht="15" customHeight="1" x14ac:dyDescent="0.25">
      <c r="A91" s="83" t="s">
        <v>215</v>
      </c>
      <c r="B91" s="83" t="s">
        <v>233</v>
      </c>
      <c r="C91" s="83" t="s">
        <v>234</v>
      </c>
      <c r="D9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1" s="85">
        <f>'Cash Flow Model'!T26</f>
        <v>795426</v>
      </c>
      <c r="F91" s="86">
        <v>18</v>
      </c>
      <c r="G91" s="84" t="s">
        <v>216</v>
      </c>
      <c r="H91" s="84" t="s">
        <v>68</v>
      </c>
    </row>
    <row r="92" spans="1:8" ht="15" customHeight="1" x14ac:dyDescent="0.25">
      <c r="A92" s="80" t="s">
        <v>217</v>
      </c>
      <c r="B92" s="80" t="s">
        <v>233</v>
      </c>
      <c r="C92" s="80" t="s">
        <v>234</v>
      </c>
      <c r="D9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2" s="77">
        <f>'Cash Flow Model'!U26</f>
        <v>822796</v>
      </c>
      <c r="F92" s="82">
        <v>19</v>
      </c>
      <c r="G92" s="81" t="s">
        <v>218</v>
      </c>
      <c r="H92" s="81" t="s">
        <v>68</v>
      </c>
    </row>
    <row r="93" spans="1:8" ht="15" customHeight="1" x14ac:dyDescent="0.25">
      <c r="A93" s="83" t="s">
        <v>219</v>
      </c>
      <c r="B93" s="83" t="s">
        <v>233</v>
      </c>
      <c r="C93" s="83" t="s">
        <v>234</v>
      </c>
      <c r="D9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3" s="85">
        <f>'Cash Flow Model'!V26</f>
        <v>853824</v>
      </c>
      <c r="F93" s="86">
        <v>20</v>
      </c>
      <c r="G93" s="84" t="s">
        <v>220</v>
      </c>
      <c r="H93" s="84" t="s">
        <v>68</v>
      </c>
    </row>
    <row r="94" spans="1:8" ht="15" customHeight="1" x14ac:dyDescent="0.25">
      <c r="A94" s="80" t="s">
        <v>221</v>
      </c>
      <c r="B94" s="80" t="s">
        <v>233</v>
      </c>
      <c r="C94" s="80" t="s">
        <v>234</v>
      </c>
      <c r="D9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4" s="77">
        <f>'Cash Flow Model'!W26</f>
        <v>888929</v>
      </c>
      <c r="F94" s="82">
        <v>21</v>
      </c>
      <c r="G94" s="81" t="s">
        <v>222</v>
      </c>
      <c r="H94" s="81" t="s">
        <v>68</v>
      </c>
    </row>
    <row r="95" spans="1:8" ht="15" customHeight="1" x14ac:dyDescent="0.25">
      <c r="A95" s="83" t="s">
        <v>223</v>
      </c>
      <c r="B95" s="83" t="s">
        <v>233</v>
      </c>
      <c r="C95" s="83" t="s">
        <v>234</v>
      </c>
      <c r="D9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5" s="85">
        <f>'Cash Flow Model'!X26</f>
        <v>928560</v>
      </c>
      <c r="F95" s="86">
        <v>22</v>
      </c>
      <c r="G95" s="84" t="s">
        <v>224</v>
      </c>
      <c r="H95" s="84" t="s">
        <v>68</v>
      </c>
    </row>
    <row r="96" spans="1:8" ht="15" customHeight="1" x14ac:dyDescent="0.25">
      <c r="A96" s="80" t="s">
        <v>225</v>
      </c>
      <c r="B96" s="80" t="s">
        <v>233</v>
      </c>
      <c r="C96" s="80" t="s">
        <v>234</v>
      </c>
      <c r="D9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6" s="77">
        <f>'Cash Flow Model'!Y26</f>
        <v>973224</v>
      </c>
      <c r="F96" s="82">
        <v>23</v>
      </c>
      <c r="G96" s="81" t="s">
        <v>226</v>
      </c>
      <c r="H96" s="81" t="s">
        <v>68</v>
      </c>
    </row>
    <row r="97" spans="1:8" ht="15" customHeight="1" x14ac:dyDescent="0.25">
      <c r="A97" s="83" t="s">
        <v>227</v>
      </c>
      <c r="B97" s="83" t="s">
        <v>233</v>
      </c>
      <c r="C97" s="83" t="s">
        <v>234</v>
      </c>
      <c r="D9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7" s="85">
        <f>'Cash Flow Model'!Z26</f>
        <v>1023336</v>
      </c>
      <c r="F97" s="86">
        <v>24</v>
      </c>
      <c r="G97" s="84" t="s">
        <v>228</v>
      </c>
      <c r="H97" s="84" t="s">
        <v>68</v>
      </c>
    </row>
    <row r="98" spans="1:8" ht="15" customHeight="1" x14ac:dyDescent="0.25">
      <c r="A98" s="80" t="s">
        <v>179</v>
      </c>
      <c r="B98" s="80" t="s">
        <v>164</v>
      </c>
      <c r="C98" s="80" t="s">
        <v>163</v>
      </c>
      <c r="D9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8" s="77">
        <f>'Cash Flow Model'!C28</f>
        <v>108080</v>
      </c>
      <c r="F98" s="82">
        <v>1</v>
      </c>
      <c r="G98" s="81" t="s">
        <v>182</v>
      </c>
      <c r="H98" s="81" t="s">
        <v>68</v>
      </c>
    </row>
    <row r="99" spans="1:8" ht="15" customHeight="1" x14ac:dyDescent="0.25">
      <c r="A99" s="83" t="s">
        <v>183</v>
      </c>
      <c r="B99" s="83" t="s">
        <v>164</v>
      </c>
      <c r="C99" s="83" t="s">
        <v>163</v>
      </c>
      <c r="D9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99" s="85">
        <f>'Cash Flow Model'!D28</f>
        <v>0</v>
      </c>
      <c r="F99" s="86">
        <v>2</v>
      </c>
      <c r="G99" s="84" t="s">
        <v>184</v>
      </c>
      <c r="H99" s="84" t="s">
        <v>68</v>
      </c>
    </row>
    <row r="100" spans="1:8" ht="15" customHeight="1" x14ac:dyDescent="0.25">
      <c r="A100" s="80" t="s">
        <v>185</v>
      </c>
      <c r="B100" s="80" t="s">
        <v>164</v>
      </c>
      <c r="C100" s="80" t="s">
        <v>163</v>
      </c>
      <c r="D10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0" s="77">
        <f>'Cash Flow Model'!E28</f>
        <v>0</v>
      </c>
      <c r="F100" s="82">
        <v>3</v>
      </c>
      <c r="G100" s="81" t="s">
        <v>186</v>
      </c>
      <c r="H100" s="81" t="s">
        <v>68</v>
      </c>
    </row>
    <row r="101" spans="1:8" ht="15" customHeight="1" x14ac:dyDescent="0.25">
      <c r="A101" s="83" t="s">
        <v>187</v>
      </c>
      <c r="B101" s="83" t="s">
        <v>164</v>
      </c>
      <c r="C101" s="83" t="s">
        <v>163</v>
      </c>
      <c r="D10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1" s="85">
        <f>'Cash Flow Model'!F28</f>
        <v>0</v>
      </c>
      <c r="F101" s="86">
        <v>4</v>
      </c>
      <c r="G101" s="84" t="s">
        <v>188</v>
      </c>
      <c r="H101" s="84" t="s">
        <v>68</v>
      </c>
    </row>
    <row r="102" spans="1:8" ht="15" customHeight="1" x14ac:dyDescent="0.25">
      <c r="A102" s="80" t="s">
        <v>189</v>
      </c>
      <c r="B102" s="80" t="s">
        <v>164</v>
      </c>
      <c r="C102" s="80" t="s">
        <v>163</v>
      </c>
      <c r="D10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2" s="77">
        <f>'Cash Flow Model'!G28</f>
        <v>0</v>
      </c>
      <c r="F102" s="82">
        <v>5</v>
      </c>
      <c r="G102" s="81" t="s">
        <v>190</v>
      </c>
      <c r="H102" s="81" t="s">
        <v>68</v>
      </c>
    </row>
    <row r="103" spans="1:8" ht="15" customHeight="1" x14ac:dyDescent="0.25">
      <c r="A103" s="83" t="s">
        <v>191</v>
      </c>
      <c r="B103" s="83" t="s">
        <v>164</v>
      </c>
      <c r="C103" s="83" t="s">
        <v>163</v>
      </c>
      <c r="D10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3" s="85">
        <f>'Cash Flow Model'!H28</f>
        <v>0</v>
      </c>
      <c r="F103" s="86">
        <v>6</v>
      </c>
      <c r="G103" s="84" t="s">
        <v>192</v>
      </c>
      <c r="H103" s="84" t="s">
        <v>68</v>
      </c>
    </row>
    <row r="104" spans="1:8" ht="15" customHeight="1" x14ac:dyDescent="0.25">
      <c r="A104" s="80" t="s">
        <v>193</v>
      </c>
      <c r="B104" s="80" t="s">
        <v>164</v>
      </c>
      <c r="C104" s="80" t="s">
        <v>163</v>
      </c>
      <c r="D10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4" s="77">
        <f>'Cash Flow Model'!I28</f>
        <v>0</v>
      </c>
      <c r="F104" s="82">
        <v>7</v>
      </c>
      <c r="G104" s="81" t="s">
        <v>194</v>
      </c>
      <c r="H104" s="81" t="s">
        <v>68</v>
      </c>
    </row>
    <row r="105" spans="1:8" ht="15" customHeight="1" x14ac:dyDescent="0.25">
      <c r="A105" s="83" t="s">
        <v>195</v>
      </c>
      <c r="B105" s="83" t="s">
        <v>164</v>
      </c>
      <c r="C105" s="83" t="s">
        <v>163</v>
      </c>
      <c r="D10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5" s="85">
        <f>'Cash Flow Model'!J28</f>
        <v>0</v>
      </c>
      <c r="F105" s="86">
        <v>8</v>
      </c>
      <c r="G105" s="84" t="s">
        <v>196</v>
      </c>
      <c r="H105" s="84" t="s">
        <v>68</v>
      </c>
    </row>
    <row r="106" spans="1:8" ht="15" customHeight="1" x14ac:dyDescent="0.25">
      <c r="A106" s="80" t="s">
        <v>197</v>
      </c>
      <c r="B106" s="80" t="s">
        <v>164</v>
      </c>
      <c r="C106" s="80" t="s">
        <v>163</v>
      </c>
      <c r="D10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6" s="77">
        <f>'Cash Flow Model'!K28</f>
        <v>0</v>
      </c>
      <c r="F106" s="82">
        <v>9</v>
      </c>
      <c r="G106" s="81" t="s">
        <v>198</v>
      </c>
      <c r="H106" s="81" t="s">
        <v>68</v>
      </c>
    </row>
    <row r="107" spans="1:8" ht="15" customHeight="1" x14ac:dyDescent="0.25">
      <c r="A107" s="83" t="s">
        <v>199</v>
      </c>
      <c r="B107" s="83" t="s">
        <v>164</v>
      </c>
      <c r="C107" s="83" t="s">
        <v>163</v>
      </c>
      <c r="D10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7" s="85">
        <f>'Cash Flow Model'!L28</f>
        <v>0</v>
      </c>
      <c r="F107" s="86">
        <v>10</v>
      </c>
      <c r="G107" s="84" t="s">
        <v>200</v>
      </c>
      <c r="H107" s="84" t="s">
        <v>68</v>
      </c>
    </row>
    <row r="108" spans="1:8" ht="15" customHeight="1" x14ac:dyDescent="0.25">
      <c r="A108" s="80" t="s">
        <v>201</v>
      </c>
      <c r="B108" s="80" t="s">
        <v>164</v>
      </c>
      <c r="C108" s="80" t="s">
        <v>163</v>
      </c>
      <c r="D10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8" s="77">
        <f>'Cash Flow Model'!M28</f>
        <v>0</v>
      </c>
      <c r="F108" s="82">
        <v>11</v>
      </c>
      <c r="G108" s="81" t="s">
        <v>202</v>
      </c>
      <c r="H108" s="81" t="s">
        <v>68</v>
      </c>
    </row>
    <row r="109" spans="1:8" ht="15" customHeight="1" x14ac:dyDescent="0.25">
      <c r="A109" s="83" t="s">
        <v>203</v>
      </c>
      <c r="B109" s="83" t="s">
        <v>164</v>
      </c>
      <c r="C109" s="83" t="s">
        <v>163</v>
      </c>
      <c r="D10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09" s="85">
        <f>'Cash Flow Model'!N28</f>
        <v>0</v>
      </c>
      <c r="F109" s="86">
        <v>12</v>
      </c>
      <c r="G109" s="84" t="s">
        <v>204</v>
      </c>
      <c r="H109" s="84" t="s">
        <v>68</v>
      </c>
    </row>
    <row r="110" spans="1:8" ht="15" customHeight="1" x14ac:dyDescent="0.25">
      <c r="A110" s="80" t="s">
        <v>205</v>
      </c>
      <c r="B110" s="80" t="s">
        <v>164</v>
      </c>
      <c r="C110" s="80" t="s">
        <v>163</v>
      </c>
      <c r="D11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0" s="77">
        <f>'Cash Flow Model'!O28</f>
        <v>0</v>
      </c>
      <c r="F110" s="82">
        <v>13</v>
      </c>
      <c r="G110" s="81" t="s">
        <v>206</v>
      </c>
      <c r="H110" s="81" t="s">
        <v>68</v>
      </c>
    </row>
    <row r="111" spans="1:8" ht="15" customHeight="1" x14ac:dyDescent="0.25">
      <c r="A111" s="83" t="s">
        <v>207</v>
      </c>
      <c r="B111" s="83" t="s">
        <v>164</v>
      </c>
      <c r="C111" s="83" t="s">
        <v>163</v>
      </c>
      <c r="D11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1" s="85">
        <f>'Cash Flow Model'!P28</f>
        <v>0</v>
      </c>
      <c r="F111" s="86">
        <v>14</v>
      </c>
      <c r="G111" s="84" t="s">
        <v>208</v>
      </c>
      <c r="H111" s="84" t="s">
        <v>68</v>
      </c>
    </row>
    <row r="112" spans="1:8" ht="15" customHeight="1" x14ac:dyDescent="0.25">
      <c r="A112" s="80" t="s">
        <v>209</v>
      </c>
      <c r="B112" s="80" t="s">
        <v>164</v>
      </c>
      <c r="C112" s="80" t="s">
        <v>163</v>
      </c>
      <c r="D11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2" s="77">
        <f>'Cash Flow Model'!Q28</f>
        <v>0</v>
      </c>
      <c r="F112" s="82">
        <v>15</v>
      </c>
      <c r="G112" s="81" t="s">
        <v>210</v>
      </c>
      <c r="H112" s="81" t="s">
        <v>68</v>
      </c>
    </row>
    <row r="113" spans="1:8" ht="15" customHeight="1" x14ac:dyDescent="0.25">
      <c r="A113" s="83" t="s">
        <v>211</v>
      </c>
      <c r="B113" s="83" t="s">
        <v>164</v>
      </c>
      <c r="C113" s="83" t="s">
        <v>163</v>
      </c>
      <c r="D11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3" s="85">
        <f>'Cash Flow Model'!R28</f>
        <v>0</v>
      </c>
      <c r="F113" s="86">
        <v>16</v>
      </c>
      <c r="G113" s="84" t="s">
        <v>212</v>
      </c>
      <c r="H113" s="84" t="s">
        <v>68</v>
      </c>
    </row>
    <row r="114" spans="1:8" ht="15" customHeight="1" x14ac:dyDescent="0.25">
      <c r="A114" s="80" t="s">
        <v>213</v>
      </c>
      <c r="B114" s="80" t="s">
        <v>164</v>
      </c>
      <c r="C114" s="80" t="s">
        <v>163</v>
      </c>
      <c r="D11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4" s="77">
        <f>'Cash Flow Model'!S28</f>
        <v>0</v>
      </c>
      <c r="F114" s="82">
        <v>17</v>
      </c>
      <c r="G114" s="81" t="s">
        <v>214</v>
      </c>
      <c r="H114" s="81" t="s">
        <v>68</v>
      </c>
    </row>
    <row r="115" spans="1:8" ht="15" customHeight="1" x14ac:dyDescent="0.25">
      <c r="A115" s="83" t="s">
        <v>215</v>
      </c>
      <c r="B115" s="83" t="s">
        <v>164</v>
      </c>
      <c r="C115" s="83" t="s">
        <v>163</v>
      </c>
      <c r="D11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5" s="85">
        <f>'Cash Flow Model'!T28</f>
        <v>0</v>
      </c>
      <c r="F115" s="86">
        <v>18</v>
      </c>
      <c r="G115" s="84" t="s">
        <v>216</v>
      </c>
      <c r="H115" s="84" t="s">
        <v>68</v>
      </c>
    </row>
    <row r="116" spans="1:8" ht="15" customHeight="1" x14ac:dyDescent="0.25">
      <c r="A116" s="80" t="s">
        <v>217</v>
      </c>
      <c r="B116" s="80" t="s">
        <v>164</v>
      </c>
      <c r="C116" s="80" t="s">
        <v>163</v>
      </c>
      <c r="D11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6" s="77">
        <f>'Cash Flow Model'!U28</f>
        <v>0</v>
      </c>
      <c r="F116" s="82">
        <v>19</v>
      </c>
      <c r="G116" s="81" t="s">
        <v>218</v>
      </c>
      <c r="H116" s="81" t="s">
        <v>68</v>
      </c>
    </row>
    <row r="117" spans="1:8" ht="15" customHeight="1" x14ac:dyDescent="0.25">
      <c r="A117" s="83" t="s">
        <v>219</v>
      </c>
      <c r="B117" s="83" t="s">
        <v>164</v>
      </c>
      <c r="C117" s="83" t="s">
        <v>163</v>
      </c>
      <c r="D11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7" s="85">
        <f>'Cash Flow Model'!V28</f>
        <v>0</v>
      </c>
      <c r="F117" s="86">
        <v>20</v>
      </c>
      <c r="G117" s="84" t="s">
        <v>220</v>
      </c>
      <c r="H117" s="84" t="s">
        <v>68</v>
      </c>
    </row>
    <row r="118" spans="1:8" ht="15" customHeight="1" x14ac:dyDescent="0.25">
      <c r="A118" s="80" t="s">
        <v>221</v>
      </c>
      <c r="B118" s="80" t="s">
        <v>164</v>
      </c>
      <c r="C118" s="80" t="s">
        <v>163</v>
      </c>
      <c r="D11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8" s="77">
        <f>'Cash Flow Model'!W28</f>
        <v>0</v>
      </c>
      <c r="F118" s="82">
        <v>21</v>
      </c>
      <c r="G118" s="81" t="s">
        <v>222</v>
      </c>
      <c r="H118" s="81" t="s">
        <v>68</v>
      </c>
    </row>
    <row r="119" spans="1:8" ht="15" customHeight="1" x14ac:dyDescent="0.25">
      <c r="A119" s="83" t="s">
        <v>223</v>
      </c>
      <c r="B119" s="83" t="s">
        <v>164</v>
      </c>
      <c r="C119" s="83" t="s">
        <v>163</v>
      </c>
      <c r="D11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19" s="85">
        <f>'Cash Flow Model'!X28</f>
        <v>0</v>
      </c>
      <c r="F119" s="86">
        <v>22</v>
      </c>
      <c r="G119" s="84" t="s">
        <v>224</v>
      </c>
      <c r="H119" s="84" t="s">
        <v>68</v>
      </c>
    </row>
    <row r="120" spans="1:8" ht="15" customHeight="1" x14ac:dyDescent="0.25">
      <c r="A120" s="80" t="s">
        <v>225</v>
      </c>
      <c r="B120" s="80" t="s">
        <v>164</v>
      </c>
      <c r="C120" s="80" t="s">
        <v>163</v>
      </c>
      <c r="D12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0" s="77">
        <f>'Cash Flow Model'!Y28</f>
        <v>0</v>
      </c>
      <c r="F120" s="82">
        <v>23</v>
      </c>
      <c r="G120" s="81" t="s">
        <v>226</v>
      </c>
      <c r="H120" s="81" t="s">
        <v>68</v>
      </c>
    </row>
    <row r="121" spans="1:8" ht="15" customHeight="1" x14ac:dyDescent="0.25">
      <c r="A121" s="83" t="s">
        <v>227</v>
      </c>
      <c r="B121" s="83" t="s">
        <v>164</v>
      </c>
      <c r="C121" s="83" t="s">
        <v>163</v>
      </c>
      <c r="D12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1" s="85">
        <f>'Cash Flow Model'!Z28</f>
        <v>0</v>
      </c>
      <c r="F121" s="86">
        <v>24</v>
      </c>
      <c r="G121" s="84" t="s">
        <v>228</v>
      </c>
      <c r="H121" s="84" t="s">
        <v>68</v>
      </c>
    </row>
    <row r="122" spans="1:8" ht="15" customHeight="1" x14ac:dyDescent="0.25">
      <c r="A122" s="80" t="s">
        <v>179</v>
      </c>
      <c r="B122" s="80" t="s">
        <v>229</v>
      </c>
      <c r="C122" s="80" t="s">
        <v>155</v>
      </c>
      <c r="D12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2" s="77">
        <f>'Cash Flow Model'!C22</f>
        <v>2980</v>
      </c>
      <c r="F122" s="82">
        <v>1</v>
      </c>
      <c r="G122" s="81" t="s">
        <v>182</v>
      </c>
      <c r="H122" s="81" t="s">
        <v>68</v>
      </c>
    </row>
    <row r="123" spans="1:8" ht="15" customHeight="1" x14ac:dyDescent="0.25">
      <c r="A123" s="83" t="s">
        <v>183</v>
      </c>
      <c r="B123" s="83" t="s">
        <v>229</v>
      </c>
      <c r="C123" s="83" t="s">
        <v>155</v>
      </c>
      <c r="D12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3" s="85">
        <f>'Cash Flow Model'!D22</f>
        <v>4627</v>
      </c>
      <c r="F123" s="86">
        <v>2</v>
      </c>
      <c r="G123" s="84" t="s">
        <v>184</v>
      </c>
      <c r="H123" s="84" t="s">
        <v>68</v>
      </c>
    </row>
    <row r="124" spans="1:8" ht="15" customHeight="1" x14ac:dyDescent="0.25">
      <c r="A124" s="80" t="s">
        <v>185</v>
      </c>
      <c r="B124" s="80" t="s">
        <v>229</v>
      </c>
      <c r="C124" s="80" t="s">
        <v>155</v>
      </c>
      <c r="D12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4" s="77">
        <f>'Cash Flow Model'!E22</f>
        <v>6343</v>
      </c>
      <c r="F124" s="82">
        <v>3</v>
      </c>
      <c r="G124" s="81" t="s">
        <v>186</v>
      </c>
      <c r="H124" s="81" t="s">
        <v>68</v>
      </c>
    </row>
    <row r="125" spans="1:8" ht="15" customHeight="1" x14ac:dyDescent="0.25">
      <c r="A125" s="83" t="s">
        <v>187</v>
      </c>
      <c r="B125" s="83" t="s">
        <v>229</v>
      </c>
      <c r="C125" s="83" t="s">
        <v>155</v>
      </c>
      <c r="D12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5" s="85">
        <f>'Cash Flow Model'!F22</f>
        <v>8058</v>
      </c>
      <c r="F125" s="86">
        <v>4</v>
      </c>
      <c r="G125" s="84" t="s">
        <v>188</v>
      </c>
      <c r="H125" s="84" t="s">
        <v>68</v>
      </c>
    </row>
    <row r="126" spans="1:8" ht="15" customHeight="1" x14ac:dyDescent="0.25">
      <c r="A126" s="80" t="s">
        <v>189</v>
      </c>
      <c r="B126" s="80" t="s">
        <v>229</v>
      </c>
      <c r="C126" s="80" t="s">
        <v>155</v>
      </c>
      <c r="D12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6" s="77">
        <f>'Cash Flow Model'!G22</f>
        <v>9830</v>
      </c>
      <c r="F126" s="82">
        <v>5</v>
      </c>
      <c r="G126" s="81" t="s">
        <v>190</v>
      </c>
      <c r="H126" s="81" t="s">
        <v>68</v>
      </c>
    </row>
    <row r="127" spans="1:8" ht="15" customHeight="1" x14ac:dyDescent="0.25">
      <c r="A127" s="83" t="s">
        <v>191</v>
      </c>
      <c r="B127" s="83" t="s">
        <v>229</v>
      </c>
      <c r="C127" s="83" t="s">
        <v>155</v>
      </c>
      <c r="D12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7" s="85">
        <f>'Cash Flow Model'!H22</f>
        <v>11682</v>
      </c>
      <c r="F127" s="86">
        <v>6</v>
      </c>
      <c r="G127" s="84" t="s">
        <v>192</v>
      </c>
      <c r="H127" s="84" t="s">
        <v>68</v>
      </c>
    </row>
    <row r="128" spans="1:8" ht="15" customHeight="1" x14ac:dyDescent="0.25">
      <c r="A128" s="80" t="s">
        <v>193</v>
      </c>
      <c r="B128" s="80" t="s">
        <v>229</v>
      </c>
      <c r="C128" s="80" t="s">
        <v>155</v>
      </c>
      <c r="D12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8" s="77">
        <f>'Cash Flow Model'!I22</f>
        <v>10593</v>
      </c>
      <c r="F128" s="82">
        <v>7</v>
      </c>
      <c r="G128" s="81" t="s">
        <v>194</v>
      </c>
      <c r="H128" s="81" t="s">
        <v>68</v>
      </c>
    </row>
    <row r="129" spans="1:8" ht="15" customHeight="1" x14ac:dyDescent="0.25">
      <c r="A129" s="83" t="s">
        <v>195</v>
      </c>
      <c r="B129" s="83" t="s">
        <v>229</v>
      </c>
      <c r="C129" s="83" t="s">
        <v>155</v>
      </c>
      <c r="D12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29" s="85">
        <f>'Cash Flow Model'!J22</f>
        <v>9755</v>
      </c>
      <c r="F129" s="86">
        <v>8</v>
      </c>
      <c r="G129" s="84" t="s">
        <v>196</v>
      </c>
      <c r="H129" s="84" t="s">
        <v>68</v>
      </c>
    </row>
    <row r="130" spans="1:8" ht="15" customHeight="1" x14ac:dyDescent="0.25">
      <c r="A130" s="80" t="s">
        <v>197</v>
      </c>
      <c r="B130" s="80" t="s">
        <v>229</v>
      </c>
      <c r="C130" s="80" t="s">
        <v>155</v>
      </c>
      <c r="D13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0" s="77">
        <f>'Cash Flow Model'!K22</f>
        <v>5258</v>
      </c>
      <c r="F130" s="82">
        <v>9</v>
      </c>
      <c r="G130" s="81" t="s">
        <v>198</v>
      </c>
      <c r="H130" s="81" t="s">
        <v>68</v>
      </c>
    </row>
    <row r="131" spans="1:8" ht="15" customHeight="1" x14ac:dyDescent="0.25">
      <c r="A131" s="83" t="s">
        <v>199</v>
      </c>
      <c r="B131" s="83" t="s">
        <v>229</v>
      </c>
      <c r="C131" s="83" t="s">
        <v>155</v>
      </c>
      <c r="D13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1" s="85">
        <f>'Cash Flow Model'!L22</f>
        <v>4873</v>
      </c>
      <c r="F131" s="86">
        <v>10</v>
      </c>
      <c r="G131" s="84" t="s">
        <v>200</v>
      </c>
      <c r="H131" s="84" t="s">
        <v>68</v>
      </c>
    </row>
    <row r="132" spans="1:8" ht="15" customHeight="1" x14ac:dyDescent="0.25">
      <c r="A132" s="80" t="s">
        <v>201</v>
      </c>
      <c r="B132" s="80" t="s">
        <v>229</v>
      </c>
      <c r="C132" s="80" t="s">
        <v>155</v>
      </c>
      <c r="D13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2" s="77">
        <f>'Cash Flow Model'!M22</f>
        <v>4156</v>
      </c>
      <c r="F132" s="82">
        <v>11</v>
      </c>
      <c r="G132" s="81" t="s">
        <v>202</v>
      </c>
      <c r="H132" s="81" t="s">
        <v>68</v>
      </c>
    </row>
    <row r="133" spans="1:8" ht="15" customHeight="1" x14ac:dyDescent="0.25">
      <c r="A133" s="83" t="s">
        <v>203</v>
      </c>
      <c r="B133" s="83" t="s">
        <v>229</v>
      </c>
      <c r="C133" s="83" t="s">
        <v>155</v>
      </c>
      <c r="D13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3" s="85">
        <f>'Cash Flow Model'!N22</f>
        <v>4143</v>
      </c>
      <c r="F133" s="86">
        <v>12</v>
      </c>
      <c r="G133" s="84" t="s">
        <v>204</v>
      </c>
      <c r="H133" s="84" t="s">
        <v>68</v>
      </c>
    </row>
    <row r="134" spans="1:8" ht="15" customHeight="1" x14ac:dyDescent="0.25">
      <c r="A134" s="80" t="s">
        <v>205</v>
      </c>
      <c r="B134" s="80" t="s">
        <v>229</v>
      </c>
      <c r="C134" s="80" t="s">
        <v>155</v>
      </c>
      <c r="D13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4" s="77">
        <f>'Cash Flow Model'!O22</f>
        <v>4294</v>
      </c>
      <c r="F134" s="82">
        <v>13</v>
      </c>
      <c r="G134" s="81" t="s">
        <v>206</v>
      </c>
      <c r="H134" s="81" t="s">
        <v>68</v>
      </c>
    </row>
    <row r="135" spans="1:8" ht="15" customHeight="1" x14ac:dyDescent="0.25">
      <c r="A135" s="83" t="s">
        <v>207</v>
      </c>
      <c r="B135" s="83" t="s">
        <v>229</v>
      </c>
      <c r="C135" s="83" t="s">
        <v>155</v>
      </c>
      <c r="D13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5" s="85">
        <f>'Cash Flow Model'!P22</f>
        <v>4607</v>
      </c>
      <c r="F135" s="86">
        <v>14</v>
      </c>
      <c r="G135" s="84" t="s">
        <v>208</v>
      </c>
      <c r="H135" s="84" t="s">
        <v>68</v>
      </c>
    </row>
    <row r="136" spans="1:8" ht="15" customHeight="1" x14ac:dyDescent="0.25">
      <c r="A136" s="80" t="s">
        <v>209</v>
      </c>
      <c r="B136" s="80" t="s">
        <v>229</v>
      </c>
      <c r="C136" s="80" t="s">
        <v>155</v>
      </c>
      <c r="D13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6" s="77">
        <f>'Cash Flow Model'!Q22</f>
        <v>5064</v>
      </c>
      <c r="F136" s="82">
        <v>15</v>
      </c>
      <c r="G136" s="81" t="s">
        <v>210</v>
      </c>
      <c r="H136" s="81" t="s">
        <v>68</v>
      </c>
    </row>
    <row r="137" spans="1:8" ht="15" customHeight="1" x14ac:dyDescent="0.25">
      <c r="A137" s="83" t="s">
        <v>211</v>
      </c>
      <c r="B137" s="83" t="s">
        <v>229</v>
      </c>
      <c r="C137" s="83" t="s">
        <v>155</v>
      </c>
      <c r="D13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7" s="85">
        <f>'Cash Flow Model'!R22</f>
        <v>5648</v>
      </c>
      <c r="F137" s="86">
        <v>16</v>
      </c>
      <c r="G137" s="84" t="s">
        <v>212</v>
      </c>
      <c r="H137" s="84" t="s">
        <v>68</v>
      </c>
    </row>
    <row r="138" spans="1:8" ht="15" customHeight="1" x14ac:dyDescent="0.25">
      <c r="A138" s="80" t="s">
        <v>213</v>
      </c>
      <c r="B138" s="80" t="s">
        <v>229</v>
      </c>
      <c r="C138" s="80" t="s">
        <v>155</v>
      </c>
      <c r="D13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8" s="77">
        <f>'Cash Flow Model'!S22</f>
        <v>6363</v>
      </c>
      <c r="F138" s="82">
        <v>17</v>
      </c>
      <c r="G138" s="81" t="s">
        <v>214</v>
      </c>
      <c r="H138" s="81" t="s">
        <v>68</v>
      </c>
    </row>
    <row r="139" spans="1:8" ht="15" customHeight="1" x14ac:dyDescent="0.25">
      <c r="A139" s="83" t="s">
        <v>215</v>
      </c>
      <c r="B139" s="83" t="s">
        <v>229</v>
      </c>
      <c r="C139" s="83" t="s">
        <v>155</v>
      </c>
      <c r="D13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39" s="85">
        <f>'Cash Flow Model'!T22</f>
        <v>7194</v>
      </c>
      <c r="F139" s="86">
        <v>18</v>
      </c>
      <c r="G139" s="84" t="s">
        <v>216</v>
      </c>
      <c r="H139" s="84" t="s">
        <v>68</v>
      </c>
    </row>
    <row r="140" spans="1:8" ht="15" customHeight="1" x14ac:dyDescent="0.25">
      <c r="A140" s="80" t="s">
        <v>217</v>
      </c>
      <c r="B140" s="80" t="s">
        <v>229</v>
      </c>
      <c r="C140" s="80" t="s">
        <v>155</v>
      </c>
      <c r="D14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0" s="77">
        <f>'Cash Flow Model'!U22</f>
        <v>8147</v>
      </c>
      <c r="F140" s="82">
        <v>19</v>
      </c>
      <c r="G140" s="81" t="s">
        <v>218</v>
      </c>
      <c r="H140" s="81" t="s">
        <v>68</v>
      </c>
    </row>
    <row r="141" spans="1:8" ht="15" customHeight="1" x14ac:dyDescent="0.25">
      <c r="A141" s="83" t="s">
        <v>219</v>
      </c>
      <c r="B141" s="83" t="s">
        <v>229</v>
      </c>
      <c r="C141" s="83" t="s">
        <v>155</v>
      </c>
      <c r="D14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1" s="85">
        <f>'Cash Flow Model'!V22</f>
        <v>9207</v>
      </c>
      <c r="F141" s="86">
        <v>20</v>
      </c>
      <c r="G141" s="84" t="s">
        <v>220</v>
      </c>
      <c r="H141" s="84" t="s">
        <v>68</v>
      </c>
    </row>
    <row r="142" spans="1:8" ht="15" customHeight="1" x14ac:dyDescent="0.25">
      <c r="A142" s="80" t="s">
        <v>221</v>
      </c>
      <c r="B142" s="80" t="s">
        <v>229</v>
      </c>
      <c r="C142" s="80" t="s">
        <v>155</v>
      </c>
      <c r="D14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2" s="77">
        <f>'Cash Flow Model'!W22</f>
        <v>10382</v>
      </c>
      <c r="F142" s="82">
        <v>21</v>
      </c>
      <c r="G142" s="81" t="s">
        <v>222</v>
      </c>
      <c r="H142" s="81" t="s">
        <v>68</v>
      </c>
    </row>
    <row r="143" spans="1:8" ht="15" customHeight="1" x14ac:dyDescent="0.25">
      <c r="A143" s="83" t="s">
        <v>223</v>
      </c>
      <c r="B143" s="83" t="s">
        <v>229</v>
      </c>
      <c r="C143" s="83" t="s">
        <v>155</v>
      </c>
      <c r="D14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3" s="85">
        <f>'Cash Flow Model'!X22</f>
        <v>11679</v>
      </c>
      <c r="F143" s="86">
        <v>22</v>
      </c>
      <c r="G143" s="84" t="s">
        <v>224</v>
      </c>
      <c r="H143" s="84" t="s">
        <v>68</v>
      </c>
    </row>
    <row r="144" spans="1:8" ht="15" customHeight="1" x14ac:dyDescent="0.25">
      <c r="A144" s="80" t="s">
        <v>225</v>
      </c>
      <c r="B144" s="80" t="s">
        <v>229</v>
      </c>
      <c r="C144" s="80" t="s">
        <v>155</v>
      </c>
      <c r="D14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4" s="77">
        <f>'Cash Flow Model'!Y22</f>
        <v>13082</v>
      </c>
      <c r="F144" s="82">
        <v>23</v>
      </c>
      <c r="G144" s="81" t="s">
        <v>226</v>
      </c>
      <c r="H144" s="81" t="s">
        <v>68</v>
      </c>
    </row>
    <row r="145" spans="1:8" ht="15" customHeight="1" x14ac:dyDescent="0.25">
      <c r="A145" s="83" t="s">
        <v>227</v>
      </c>
      <c r="B145" s="83" t="s">
        <v>229</v>
      </c>
      <c r="C145" s="83" t="s">
        <v>155</v>
      </c>
      <c r="D14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5" s="85">
        <f>'Cash Flow Model'!Z22</f>
        <v>14599</v>
      </c>
      <c r="F145" s="86">
        <v>24</v>
      </c>
      <c r="G145" s="84" t="s">
        <v>228</v>
      </c>
      <c r="H145" s="84" t="s">
        <v>68</v>
      </c>
    </row>
    <row r="146" spans="1:8" ht="15" customHeight="1" x14ac:dyDescent="0.25">
      <c r="A146" s="80" t="s">
        <v>179</v>
      </c>
      <c r="B146" s="80" t="s">
        <v>229</v>
      </c>
      <c r="C146" s="80" t="s">
        <v>235</v>
      </c>
      <c r="D14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6" s="77">
        <f>'Cash Flow Model'!C15</f>
        <v>65000</v>
      </c>
      <c r="F146" s="82">
        <v>1</v>
      </c>
      <c r="G146" s="81" t="s">
        <v>182</v>
      </c>
      <c r="H146" s="81" t="s">
        <v>68</v>
      </c>
    </row>
    <row r="147" spans="1:8" ht="15" customHeight="1" x14ac:dyDescent="0.25">
      <c r="A147" s="83" t="s">
        <v>183</v>
      </c>
      <c r="B147" s="83" t="s">
        <v>229</v>
      </c>
      <c r="C147" s="83" t="s">
        <v>235</v>
      </c>
      <c r="D14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7" s="85">
        <f>'Cash Flow Model'!D15</f>
        <v>65000</v>
      </c>
      <c r="F147" s="86">
        <v>2</v>
      </c>
      <c r="G147" s="84" t="s">
        <v>184</v>
      </c>
      <c r="H147" s="84" t="s">
        <v>68</v>
      </c>
    </row>
    <row r="148" spans="1:8" ht="15" customHeight="1" x14ac:dyDescent="0.25">
      <c r="A148" s="80" t="s">
        <v>185</v>
      </c>
      <c r="B148" s="80" t="s">
        <v>229</v>
      </c>
      <c r="C148" s="80" t="s">
        <v>235</v>
      </c>
      <c r="D14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8" s="77">
        <f>'Cash Flow Model'!E15</f>
        <v>65000</v>
      </c>
      <c r="F148" s="82">
        <v>3</v>
      </c>
      <c r="G148" s="81" t="s">
        <v>186</v>
      </c>
      <c r="H148" s="81" t="s">
        <v>68</v>
      </c>
    </row>
    <row r="149" spans="1:8" ht="15" customHeight="1" x14ac:dyDescent="0.25">
      <c r="A149" s="83" t="s">
        <v>187</v>
      </c>
      <c r="B149" s="83" t="s">
        <v>229</v>
      </c>
      <c r="C149" s="83" t="s">
        <v>235</v>
      </c>
      <c r="D14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49" s="85">
        <f>'Cash Flow Model'!F15</f>
        <v>65000</v>
      </c>
      <c r="F149" s="86">
        <v>4</v>
      </c>
      <c r="G149" s="84" t="s">
        <v>188</v>
      </c>
      <c r="H149" s="84" t="s">
        <v>68</v>
      </c>
    </row>
    <row r="150" spans="1:8" ht="15" customHeight="1" x14ac:dyDescent="0.25">
      <c r="A150" s="80" t="s">
        <v>189</v>
      </c>
      <c r="B150" s="80" t="s">
        <v>229</v>
      </c>
      <c r="C150" s="80" t="s">
        <v>235</v>
      </c>
      <c r="D15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0" s="77">
        <f>'Cash Flow Model'!G15</f>
        <v>65000</v>
      </c>
      <c r="F150" s="82">
        <v>5</v>
      </c>
      <c r="G150" s="81" t="s">
        <v>190</v>
      </c>
      <c r="H150" s="81" t="s">
        <v>68</v>
      </c>
    </row>
    <row r="151" spans="1:8" ht="15" customHeight="1" x14ac:dyDescent="0.25">
      <c r="A151" s="83" t="s">
        <v>191</v>
      </c>
      <c r="B151" s="83" t="s">
        <v>229</v>
      </c>
      <c r="C151" s="83" t="s">
        <v>235</v>
      </c>
      <c r="D15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1" s="85">
        <f>'Cash Flow Model'!H15</f>
        <v>65000</v>
      </c>
      <c r="F151" s="86">
        <v>6</v>
      </c>
      <c r="G151" s="84" t="s">
        <v>192</v>
      </c>
      <c r="H151" s="84" t="s">
        <v>68</v>
      </c>
    </row>
    <row r="152" spans="1:8" ht="15" customHeight="1" x14ac:dyDescent="0.25">
      <c r="A152" s="80" t="s">
        <v>193</v>
      </c>
      <c r="B152" s="80" t="s">
        <v>229</v>
      </c>
      <c r="C152" s="80" t="s">
        <v>235</v>
      </c>
      <c r="D15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2" s="77">
        <f>'Cash Flow Model'!I15</f>
        <v>65000</v>
      </c>
      <c r="F152" s="82">
        <v>7</v>
      </c>
      <c r="G152" s="81" t="s">
        <v>194</v>
      </c>
      <c r="H152" s="81" t="s">
        <v>68</v>
      </c>
    </row>
    <row r="153" spans="1:8" ht="15" customHeight="1" x14ac:dyDescent="0.25">
      <c r="A153" s="83" t="s">
        <v>195</v>
      </c>
      <c r="B153" s="83" t="s">
        <v>229</v>
      </c>
      <c r="C153" s="83" t="s">
        <v>235</v>
      </c>
      <c r="D15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3" s="85">
        <f>'Cash Flow Model'!J15</f>
        <v>65000</v>
      </c>
      <c r="F153" s="86">
        <v>8</v>
      </c>
      <c r="G153" s="84" t="s">
        <v>196</v>
      </c>
      <c r="H153" s="84" t="s">
        <v>68</v>
      </c>
    </row>
    <row r="154" spans="1:8" ht="15" customHeight="1" x14ac:dyDescent="0.25">
      <c r="A154" s="80" t="s">
        <v>197</v>
      </c>
      <c r="B154" s="80" t="s">
        <v>229</v>
      </c>
      <c r="C154" s="80" t="s">
        <v>235</v>
      </c>
      <c r="D15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4" s="77">
        <f>'Cash Flow Model'!K15</f>
        <v>84500</v>
      </c>
      <c r="F154" s="82">
        <v>9</v>
      </c>
      <c r="G154" s="81" t="s">
        <v>198</v>
      </c>
      <c r="H154" s="81" t="s">
        <v>68</v>
      </c>
    </row>
    <row r="155" spans="1:8" ht="15" customHeight="1" x14ac:dyDescent="0.25">
      <c r="A155" s="83" t="s">
        <v>199</v>
      </c>
      <c r="B155" s="83" t="s">
        <v>229</v>
      </c>
      <c r="C155" s="83" t="s">
        <v>235</v>
      </c>
      <c r="D15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5" s="85">
        <f>'Cash Flow Model'!L15</f>
        <v>84500</v>
      </c>
      <c r="F155" s="86">
        <v>10</v>
      </c>
      <c r="G155" s="84" t="s">
        <v>200</v>
      </c>
      <c r="H155" s="84" t="s">
        <v>68</v>
      </c>
    </row>
    <row r="156" spans="1:8" ht="15" customHeight="1" x14ac:dyDescent="0.25">
      <c r="A156" s="80" t="s">
        <v>201</v>
      </c>
      <c r="B156" s="80" t="s">
        <v>229</v>
      </c>
      <c r="C156" s="80" t="s">
        <v>235</v>
      </c>
      <c r="D15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6" s="77">
        <f>'Cash Flow Model'!M15</f>
        <v>84500</v>
      </c>
      <c r="F156" s="82">
        <v>11</v>
      </c>
      <c r="G156" s="81" t="s">
        <v>202</v>
      </c>
      <c r="H156" s="81" t="s">
        <v>68</v>
      </c>
    </row>
    <row r="157" spans="1:8" ht="15" customHeight="1" x14ac:dyDescent="0.25">
      <c r="A157" s="83" t="s">
        <v>203</v>
      </c>
      <c r="B157" s="83" t="s">
        <v>229</v>
      </c>
      <c r="C157" s="83" t="s">
        <v>235</v>
      </c>
      <c r="D15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7" s="85">
        <f>'Cash Flow Model'!N15</f>
        <v>84500</v>
      </c>
      <c r="F157" s="86">
        <v>12</v>
      </c>
      <c r="G157" s="84" t="s">
        <v>204</v>
      </c>
      <c r="H157" s="84" t="s">
        <v>68</v>
      </c>
    </row>
    <row r="158" spans="1:8" ht="15" customHeight="1" x14ac:dyDescent="0.25">
      <c r="A158" s="80" t="s">
        <v>205</v>
      </c>
      <c r="B158" s="80" t="s">
        <v>229</v>
      </c>
      <c r="C158" s="80" t="s">
        <v>235</v>
      </c>
      <c r="D15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8" s="77">
        <f>'Cash Flow Model'!O15</f>
        <v>84500</v>
      </c>
      <c r="F158" s="82">
        <v>13</v>
      </c>
      <c r="G158" s="81" t="s">
        <v>206</v>
      </c>
      <c r="H158" s="81" t="s">
        <v>68</v>
      </c>
    </row>
    <row r="159" spans="1:8" ht="15" customHeight="1" x14ac:dyDescent="0.25">
      <c r="A159" s="83" t="s">
        <v>207</v>
      </c>
      <c r="B159" s="83" t="s">
        <v>229</v>
      </c>
      <c r="C159" s="83" t="s">
        <v>235</v>
      </c>
      <c r="D15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59" s="85">
        <f>'Cash Flow Model'!P15</f>
        <v>84500</v>
      </c>
      <c r="F159" s="86">
        <v>14</v>
      </c>
      <c r="G159" s="84" t="s">
        <v>208</v>
      </c>
      <c r="H159" s="84" t="s">
        <v>68</v>
      </c>
    </row>
    <row r="160" spans="1:8" ht="15" customHeight="1" x14ac:dyDescent="0.25">
      <c r="A160" s="80" t="s">
        <v>209</v>
      </c>
      <c r="B160" s="80" t="s">
        <v>229</v>
      </c>
      <c r="C160" s="80" t="s">
        <v>235</v>
      </c>
      <c r="D16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0" s="77">
        <f>'Cash Flow Model'!Q15</f>
        <v>84500</v>
      </c>
      <c r="F160" s="82">
        <v>15</v>
      </c>
      <c r="G160" s="81" t="s">
        <v>210</v>
      </c>
      <c r="H160" s="81" t="s">
        <v>68</v>
      </c>
    </row>
    <row r="161" spans="1:8" ht="15" customHeight="1" x14ac:dyDescent="0.25">
      <c r="A161" s="83" t="s">
        <v>211</v>
      </c>
      <c r="B161" s="83" t="s">
        <v>229</v>
      </c>
      <c r="C161" s="83" t="s">
        <v>235</v>
      </c>
      <c r="D16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1" s="85">
        <f>'Cash Flow Model'!R15</f>
        <v>84500</v>
      </c>
      <c r="F161" s="86">
        <v>16</v>
      </c>
      <c r="G161" s="84" t="s">
        <v>212</v>
      </c>
      <c r="H161" s="84" t="s">
        <v>68</v>
      </c>
    </row>
    <row r="162" spans="1:8" ht="15" customHeight="1" x14ac:dyDescent="0.25">
      <c r="A162" s="80" t="s">
        <v>213</v>
      </c>
      <c r="B162" s="80" t="s">
        <v>229</v>
      </c>
      <c r="C162" s="80" t="s">
        <v>235</v>
      </c>
      <c r="D16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2" s="77">
        <f>'Cash Flow Model'!S15</f>
        <v>84500</v>
      </c>
      <c r="F162" s="82">
        <v>17</v>
      </c>
      <c r="G162" s="81" t="s">
        <v>214</v>
      </c>
      <c r="H162" s="81" t="s">
        <v>68</v>
      </c>
    </row>
    <row r="163" spans="1:8" ht="15" customHeight="1" x14ac:dyDescent="0.25">
      <c r="A163" s="83" t="s">
        <v>215</v>
      </c>
      <c r="B163" s="83" t="s">
        <v>229</v>
      </c>
      <c r="C163" s="83" t="s">
        <v>235</v>
      </c>
      <c r="D16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3" s="85">
        <f>'Cash Flow Model'!T15</f>
        <v>84500</v>
      </c>
      <c r="F163" s="86">
        <v>18</v>
      </c>
      <c r="G163" s="84" t="s">
        <v>216</v>
      </c>
      <c r="H163" s="84" t="s">
        <v>68</v>
      </c>
    </row>
    <row r="164" spans="1:8" ht="15" customHeight="1" x14ac:dyDescent="0.25">
      <c r="A164" s="80" t="s">
        <v>217</v>
      </c>
      <c r="B164" s="80" t="s">
        <v>229</v>
      </c>
      <c r="C164" s="80" t="s">
        <v>235</v>
      </c>
      <c r="D16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4" s="77">
        <f>'Cash Flow Model'!U15</f>
        <v>84500</v>
      </c>
      <c r="F164" s="82">
        <v>19</v>
      </c>
      <c r="G164" s="81" t="s">
        <v>218</v>
      </c>
      <c r="H164" s="81" t="s">
        <v>68</v>
      </c>
    </row>
    <row r="165" spans="1:8" ht="15" customHeight="1" x14ac:dyDescent="0.25">
      <c r="A165" s="83" t="s">
        <v>219</v>
      </c>
      <c r="B165" s="83" t="s">
        <v>229</v>
      </c>
      <c r="C165" s="83" t="s">
        <v>235</v>
      </c>
      <c r="D16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5" s="85">
        <f>'Cash Flow Model'!V15</f>
        <v>84500</v>
      </c>
      <c r="F165" s="86">
        <v>20</v>
      </c>
      <c r="G165" s="84" t="s">
        <v>220</v>
      </c>
      <c r="H165" s="84" t="s">
        <v>68</v>
      </c>
    </row>
    <row r="166" spans="1:8" ht="15" customHeight="1" x14ac:dyDescent="0.25">
      <c r="A166" s="80" t="s">
        <v>221</v>
      </c>
      <c r="B166" s="80" t="s">
        <v>229</v>
      </c>
      <c r="C166" s="80" t="s">
        <v>235</v>
      </c>
      <c r="D16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6" s="77">
        <f>'Cash Flow Model'!W15</f>
        <v>84500</v>
      </c>
      <c r="F166" s="82">
        <v>21</v>
      </c>
      <c r="G166" s="81" t="s">
        <v>222</v>
      </c>
      <c r="H166" s="81" t="s">
        <v>68</v>
      </c>
    </row>
    <row r="167" spans="1:8" ht="15" customHeight="1" x14ac:dyDescent="0.25">
      <c r="A167" s="83" t="s">
        <v>223</v>
      </c>
      <c r="B167" s="83" t="s">
        <v>229</v>
      </c>
      <c r="C167" s="83" t="s">
        <v>235</v>
      </c>
      <c r="D16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7" s="85">
        <f>'Cash Flow Model'!X15</f>
        <v>84500</v>
      </c>
      <c r="F167" s="86">
        <v>22</v>
      </c>
      <c r="G167" s="84" t="s">
        <v>224</v>
      </c>
      <c r="H167" s="84" t="s">
        <v>68</v>
      </c>
    </row>
    <row r="168" spans="1:8" ht="15" customHeight="1" x14ac:dyDescent="0.25">
      <c r="A168" s="80" t="s">
        <v>225</v>
      </c>
      <c r="B168" s="80" t="s">
        <v>229</v>
      </c>
      <c r="C168" s="80" t="s">
        <v>235</v>
      </c>
      <c r="D16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8" s="77">
        <f>'Cash Flow Model'!Y15</f>
        <v>84500</v>
      </c>
      <c r="F168" s="82">
        <v>23</v>
      </c>
      <c r="G168" s="81" t="s">
        <v>226</v>
      </c>
      <c r="H168" s="81" t="s">
        <v>68</v>
      </c>
    </row>
    <row r="169" spans="1:8" ht="15" customHeight="1" x14ac:dyDescent="0.25">
      <c r="A169" s="83" t="s">
        <v>227</v>
      </c>
      <c r="B169" s="83" t="s">
        <v>229</v>
      </c>
      <c r="C169" s="83" t="s">
        <v>235</v>
      </c>
      <c r="D16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69" s="85">
        <f>'Cash Flow Model'!Z15</f>
        <v>84500</v>
      </c>
      <c r="F169" s="86">
        <v>24</v>
      </c>
      <c r="G169" s="84" t="s">
        <v>228</v>
      </c>
      <c r="H169" s="84" t="s">
        <v>68</v>
      </c>
    </row>
    <row r="170" spans="1:8" ht="15" customHeight="1" x14ac:dyDescent="0.25">
      <c r="A170" s="80" t="s">
        <v>179</v>
      </c>
      <c r="B170" s="80" t="s">
        <v>229</v>
      </c>
      <c r="C170" s="80" t="s">
        <v>151</v>
      </c>
      <c r="D17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0" s="77">
        <f>'Cash Flow Model'!C20</f>
        <v>6500</v>
      </c>
      <c r="F170" s="82">
        <v>1</v>
      </c>
      <c r="G170" s="81" t="s">
        <v>182</v>
      </c>
      <c r="H170" s="81" t="s">
        <v>68</v>
      </c>
    </row>
    <row r="171" spans="1:8" ht="15" customHeight="1" x14ac:dyDescent="0.25">
      <c r="A171" s="83" t="s">
        <v>183</v>
      </c>
      <c r="B171" s="83" t="s">
        <v>229</v>
      </c>
      <c r="C171" s="83" t="s">
        <v>151</v>
      </c>
      <c r="D17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1" s="85">
        <f>'Cash Flow Model'!D20</f>
        <v>6500</v>
      </c>
      <c r="F171" s="86">
        <v>2</v>
      </c>
      <c r="G171" s="84" t="s">
        <v>184</v>
      </c>
      <c r="H171" s="84" t="s">
        <v>68</v>
      </c>
    </row>
    <row r="172" spans="1:8" ht="15" customHeight="1" x14ac:dyDescent="0.25">
      <c r="A172" s="80" t="s">
        <v>185</v>
      </c>
      <c r="B172" s="80" t="s">
        <v>229</v>
      </c>
      <c r="C172" s="80" t="s">
        <v>151</v>
      </c>
      <c r="D17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2" s="77">
        <f>'Cash Flow Model'!E20</f>
        <v>6500</v>
      </c>
      <c r="F172" s="82">
        <v>3</v>
      </c>
      <c r="G172" s="81" t="s">
        <v>186</v>
      </c>
      <c r="H172" s="81" t="s">
        <v>68</v>
      </c>
    </row>
    <row r="173" spans="1:8" ht="15" customHeight="1" x14ac:dyDescent="0.25">
      <c r="A173" s="83" t="s">
        <v>187</v>
      </c>
      <c r="B173" s="83" t="s">
        <v>229</v>
      </c>
      <c r="C173" s="83" t="s">
        <v>151</v>
      </c>
      <c r="D17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3" s="85">
        <f>'Cash Flow Model'!F20</f>
        <v>6500</v>
      </c>
      <c r="F173" s="86">
        <v>4</v>
      </c>
      <c r="G173" s="84" t="s">
        <v>188</v>
      </c>
      <c r="H173" s="84" t="s">
        <v>68</v>
      </c>
    </row>
    <row r="174" spans="1:8" ht="15" customHeight="1" x14ac:dyDescent="0.25">
      <c r="A174" s="80" t="s">
        <v>189</v>
      </c>
      <c r="B174" s="80" t="s">
        <v>229</v>
      </c>
      <c r="C174" s="80" t="s">
        <v>151</v>
      </c>
      <c r="D17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4" s="77">
        <f>'Cash Flow Model'!G20</f>
        <v>6500</v>
      </c>
      <c r="F174" s="82">
        <v>5</v>
      </c>
      <c r="G174" s="81" t="s">
        <v>190</v>
      </c>
      <c r="H174" s="81" t="s">
        <v>68</v>
      </c>
    </row>
    <row r="175" spans="1:8" ht="15" customHeight="1" x14ac:dyDescent="0.25">
      <c r="A175" s="83" t="s">
        <v>191</v>
      </c>
      <c r="B175" s="83" t="s">
        <v>229</v>
      </c>
      <c r="C175" s="83" t="s">
        <v>151</v>
      </c>
      <c r="D17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5" s="85">
        <f>'Cash Flow Model'!H20</f>
        <v>6500</v>
      </c>
      <c r="F175" s="86">
        <v>6</v>
      </c>
      <c r="G175" s="84" t="s">
        <v>192</v>
      </c>
      <c r="H175" s="84" t="s">
        <v>68</v>
      </c>
    </row>
    <row r="176" spans="1:8" ht="15" customHeight="1" x14ac:dyDescent="0.25">
      <c r="A176" s="80" t="s">
        <v>193</v>
      </c>
      <c r="B176" s="80" t="s">
        <v>229</v>
      </c>
      <c r="C176" s="80" t="s">
        <v>151</v>
      </c>
      <c r="D17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6" s="77">
        <f>'Cash Flow Model'!I20</f>
        <v>6500</v>
      </c>
      <c r="F176" s="82">
        <v>7</v>
      </c>
      <c r="G176" s="81" t="s">
        <v>194</v>
      </c>
      <c r="H176" s="81" t="s">
        <v>68</v>
      </c>
    </row>
    <row r="177" spans="1:8" ht="15" customHeight="1" x14ac:dyDescent="0.25">
      <c r="A177" s="83" t="s">
        <v>195</v>
      </c>
      <c r="B177" s="83" t="s">
        <v>229</v>
      </c>
      <c r="C177" s="83" t="s">
        <v>151</v>
      </c>
      <c r="D17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7" s="85">
        <f>'Cash Flow Model'!J20</f>
        <v>6500</v>
      </c>
      <c r="F177" s="86">
        <v>8</v>
      </c>
      <c r="G177" s="84" t="s">
        <v>196</v>
      </c>
      <c r="H177" s="84" t="s">
        <v>68</v>
      </c>
    </row>
    <row r="178" spans="1:8" ht="15" customHeight="1" x14ac:dyDescent="0.25">
      <c r="A178" s="80" t="s">
        <v>197</v>
      </c>
      <c r="B178" s="80" t="s">
        <v>229</v>
      </c>
      <c r="C178" s="80" t="s">
        <v>151</v>
      </c>
      <c r="D17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8" s="77">
        <f>'Cash Flow Model'!K20</f>
        <v>6500</v>
      </c>
      <c r="F178" s="82">
        <v>9</v>
      </c>
      <c r="G178" s="81" t="s">
        <v>198</v>
      </c>
      <c r="H178" s="81" t="s">
        <v>68</v>
      </c>
    </row>
    <row r="179" spans="1:8" ht="15" customHeight="1" x14ac:dyDescent="0.25">
      <c r="A179" s="83" t="s">
        <v>199</v>
      </c>
      <c r="B179" s="83" t="s">
        <v>229</v>
      </c>
      <c r="C179" s="83" t="s">
        <v>151</v>
      </c>
      <c r="D17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79" s="85">
        <f>'Cash Flow Model'!L20</f>
        <v>6500</v>
      </c>
      <c r="F179" s="86">
        <v>10</v>
      </c>
      <c r="G179" s="84" t="s">
        <v>200</v>
      </c>
      <c r="H179" s="84" t="s">
        <v>68</v>
      </c>
    </row>
    <row r="180" spans="1:8" ht="15" customHeight="1" x14ac:dyDescent="0.25">
      <c r="A180" s="80" t="s">
        <v>201</v>
      </c>
      <c r="B180" s="80" t="s">
        <v>229</v>
      </c>
      <c r="C180" s="80" t="s">
        <v>151</v>
      </c>
      <c r="D18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0" s="77">
        <f>'Cash Flow Model'!M20</f>
        <v>9100</v>
      </c>
      <c r="F180" s="82">
        <v>11</v>
      </c>
      <c r="G180" s="81" t="s">
        <v>202</v>
      </c>
      <c r="H180" s="81" t="s">
        <v>68</v>
      </c>
    </row>
    <row r="181" spans="1:8" ht="15" customHeight="1" x14ac:dyDescent="0.25">
      <c r="A181" s="83" t="s">
        <v>203</v>
      </c>
      <c r="B181" s="83" t="s">
        <v>229</v>
      </c>
      <c r="C181" s="83" t="s">
        <v>151</v>
      </c>
      <c r="D18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1" s="85">
        <f>'Cash Flow Model'!N20</f>
        <v>9100</v>
      </c>
      <c r="F181" s="86">
        <v>12</v>
      </c>
      <c r="G181" s="84" t="s">
        <v>204</v>
      </c>
      <c r="H181" s="84" t="s">
        <v>68</v>
      </c>
    </row>
    <row r="182" spans="1:8" ht="15" customHeight="1" x14ac:dyDescent="0.25">
      <c r="A182" s="80" t="s">
        <v>205</v>
      </c>
      <c r="B182" s="80" t="s">
        <v>229</v>
      </c>
      <c r="C182" s="80" t="s">
        <v>151</v>
      </c>
      <c r="D18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2" s="77">
        <f>'Cash Flow Model'!O20</f>
        <v>9100</v>
      </c>
      <c r="F182" s="82">
        <v>13</v>
      </c>
      <c r="G182" s="81" t="s">
        <v>206</v>
      </c>
      <c r="H182" s="81" t="s">
        <v>68</v>
      </c>
    </row>
    <row r="183" spans="1:8" ht="15" customHeight="1" x14ac:dyDescent="0.25">
      <c r="A183" s="83" t="s">
        <v>207</v>
      </c>
      <c r="B183" s="83" t="s">
        <v>229</v>
      </c>
      <c r="C183" s="83" t="s">
        <v>151</v>
      </c>
      <c r="D18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3" s="85">
        <f>'Cash Flow Model'!P20</f>
        <v>9100</v>
      </c>
      <c r="F183" s="86">
        <v>14</v>
      </c>
      <c r="G183" s="84" t="s">
        <v>208</v>
      </c>
      <c r="H183" s="84" t="s">
        <v>68</v>
      </c>
    </row>
    <row r="184" spans="1:8" ht="15" customHeight="1" x14ac:dyDescent="0.25">
      <c r="A184" s="80" t="s">
        <v>209</v>
      </c>
      <c r="B184" s="80" t="s">
        <v>229</v>
      </c>
      <c r="C184" s="80" t="s">
        <v>151</v>
      </c>
      <c r="D18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4" s="77">
        <f>'Cash Flow Model'!Q20</f>
        <v>9100</v>
      </c>
      <c r="F184" s="82">
        <v>15</v>
      </c>
      <c r="G184" s="81" t="s">
        <v>210</v>
      </c>
      <c r="H184" s="81" t="s">
        <v>68</v>
      </c>
    </row>
    <row r="185" spans="1:8" ht="15" customHeight="1" x14ac:dyDescent="0.25">
      <c r="A185" s="83" t="s">
        <v>211</v>
      </c>
      <c r="B185" s="83" t="s">
        <v>229</v>
      </c>
      <c r="C185" s="83" t="s">
        <v>151</v>
      </c>
      <c r="D18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5" s="85">
        <f>'Cash Flow Model'!R20</f>
        <v>9100</v>
      </c>
      <c r="F185" s="86">
        <v>16</v>
      </c>
      <c r="G185" s="84" t="s">
        <v>212</v>
      </c>
      <c r="H185" s="84" t="s">
        <v>68</v>
      </c>
    </row>
    <row r="186" spans="1:8" ht="15" customHeight="1" x14ac:dyDescent="0.25">
      <c r="A186" s="80" t="s">
        <v>213</v>
      </c>
      <c r="B186" s="80" t="s">
        <v>229</v>
      </c>
      <c r="C186" s="80" t="s">
        <v>151</v>
      </c>
      <c r="D18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6" s="77">
        <f>'Cash Flow Model'!S20</f>
        <v>9100</v>
      </c>
      <c r="F186" s="82">
        <v>17</v>
      </c>
      <c r="G186" s="81" t="s">
        <v>214</v>
      </c>
      <c r="H186" s="81" t="s">
        <v>68</v>
      </c>
    </row>
    <row r="187" spans="1:8" ht="15" customHeight="1" x14ac:dyDescent="0.25">
      <c r="A187" s="83" t="s">
        <v>215</v>
      </c>
      <c r="B187" s="83" t="s">
        <v>229</v>
      </c>
      <c r="C187" s="83" t="s">
        <v>151</v>
      </c>
      <c r="D18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7" s="85">
        <f>'Cash Flow Model'!T20</f>
        <v>9100</v>
      </c>
      <c r="F187" s="86">
        <v>18</v>
      </c>
      <c r="G187" s="84" t="s">
        <v>216</v>
      </c>
      <c r="H187" s="84" t="s">
        <v>68</v>
      </c>
    </row>
    <row r="188" spans="1:8" ht="15" customHeight="1" x14ac:dyDescent="0.25">
      <c r="A188" s="80" t="s">
        <v>217</v>
      </c>
      <c r="B188" s="80" t="s">
        <v>229</v>
      </c>
      <c r="C188" s="80" t="s">
        <v>151</v>
      </c>
      <c r="D18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8" s="77">
        <f>'Cash Flow Model'!U20</f>
        <v>9100</v>
      </c>
      <c r="F188" s="82">
        <v>19</v>
      </c>
      <c r="G188" s="81" t="s">
        <v>218</v>
      </c>
      <c r="H188" s="81" t="s">
        <v>68</v>
      </c>
    </row>
    <row r="189" spans="1:8" ht="15" customHeight="1" x14ac:dyDescent="0.25">
      <c r="A189" s="83" t="s">
        <v>219</v>
      </c>
      <c r="B189" s="83" t="s">
        <v>229</v>
      </c>
      <c r="C189" s="83" t="s">
        <v>151</v>
      </c>
      <c r="D18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89" s="85">
        <f>'Cash Flow Model'!V20</f>
        <v>9100</v>
      </c>
      <c r="F189" s="86">
        <v>20</v>
      </c>
      <c r="G189" s="84" t="s">
        <v>220</v>
      </c>
      <c r="H189" s="84" t="s">
        <v>68</v>
      </c>
    </row>
    <row r="190" spans="1:8" ht="15" customHeight="1" x14ac:dyDescent="0.25">
      <c r="A190" s="80" t="s">
        <v>221</v>
      </c>
      <c r="B190" s="80" t="s">
        <v>229</v>
      </c>
      <c r="C190" s="80" t="s">
        <v>151</v>
      </c>
      <c r="D19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0" s="77">
        <f>'Cash Flow Model'!W20</f>
        <v>9100</v>
      </c>
      <c r="F190" s="82">
        <v>21</v>
      </c>
      <c r="G190" s="81" t="s">
        <v>222</v>
      </c>
      <c r="H190" s="81" t="s">
        <v>68</v>
      </c>
    </row>
    <row r="191" spans="1:8" ht="15" customHeight="1" x14ac:dyDescent="0.25">
      <c r="A191" s="83" t="s">
        <v>223</v>
      </c>
      <c r="B191" s="83" t="s">
        <v>229</v>
      </c>
      <c r="C191" s="83" t="s">
        <v>151</v>
      </c>
      <c r="D19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1" s="85">
        <f>'Cash Flow Model'!X20</f>
        <v>9100</v>
      </c>
      <c r="F191" s="86">
        <v>22</v>
      </c>
      <c r="G191" s="84" t="s">
        <v>224</v>
      </c>
      <c r="H191" s="84" t="s">
        <v>68</v>
      </c>
    </row>
    <row r="192" spans="1:8" ht="15" customHeight="1" x14ac:dyDescent="0.25">
      <c r="A192" s="80" t="s">
        <v>225</v>
      </c>
      <c r="B192" s="80" t="s">
        <v>229</v>
      </c>
      <c r="C192" s="80" t="s">
        <v>151</v>
      </c>
      <c r="D19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2" s="77">
        <f>'Cash Flow Model'!Y20</f>
        <v>9100</v>
      </c>
      <c r="F192" s="82">
        <v>23</v>
      </c>
      <c r="G192" s="81" t="s">
        <v>226</v>
      </c>
      <c r="H192" s="81" t="s">
        <v>68</v>
      </c>
    </row>
    <row r="193" spans="1:8" ht="15" customHeight="1" x14ac:dyDescent="0.25">
      <c r="A193" s="83" t="s">
        <v>227</v>
      </c>
      <c r="B193" s="83" t="s">
        <v>229</v>
      </c>
      <c r="C193" s="83" t="s">
        <v>151</v>
      </c>
      <c r="D19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3" s="85">
        <f>'Cash Flow Model'!Z20</f>
        <v>9100</v>
      </c>
      <c r="F193" s="86">
        <v>24</v>
      </c>
      <c r="G193" s="84" t="s">
        <v>228</v>
      </c>
      <c r="H193" s="84" t="s">
        <v>68</v>
      </c>
    </row>
    <row r="194" spans="1:8" ht="15" customHeight="1" x14ac:dyDescent="0.25">
      <c r="A194" s="80" t="s">
        <v>179</v>
      </c>
      <c r="B194" s="80" t="s">
        <v>180</v>
      </c>
      <c r="C194" s="80" t="s">
        <v>236</v>
      </c>
      <c r="D19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4" s="77">
        <f>'Cash Flow Model'!C11</f>
        <v>120000</v>
      </c>
      <c r="F194" s="82">
        <v>1</v>
      </c>
      <c r="G194" s="81" t="s">
        <v>182</v>
      </c>
      <c r="H194" s="81" t="s">
        <v>68</v>
      </c>
    </row>
    <row r="195" spans="1:8" ht="15" customHeight="1" x14ac:dyDescent="0.25">
      <c r="A195" s="83" t="s">
        <v>183</v>
      </c>
      <c r="B195" s="83" t="s">
        <v>180</v>
      </c>
      <c r="C195" s="83" t="s">
        <v>236</v>
      </c>
      <c r="D19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5" s="85">
        <f>'Cash Flow Model'!D11</f>
        <v>128525</v>
      </c>
      <c r="F195" s="86">
        <v>2</v>
      </c>
      <c r="G195" s="84" t="s">
        <v>184</v>
      </c>
      <c r="H195" s="84" t="s">
        <v>68</v>
      </c>
    </row>
    <row r="196" spans="1:8" ht="15" customHeight="1" x14ac:dyDescent="0.25">
      <c r="A196" s="80" t="s">
        <v>185</v>
      </c>
      <c r="B196" s="80" t="s">
        <v>180</v>
      </c>
      <c r="C196" s="80" t="s">
        <v>236</v>
      </c>
      <c r="D19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6" s="77">
        <f>'Cash Flow Model'!E11</f>
        <v>137401</v>
      </c>
      <c r="F196" s="82">
        <v>3</v>
      </c>
      <c r="G196" s="81" t="s">
        <v>186</v>
      </c>
      <c r="H196" s="81" t="s">
        <v>68</v>
      </c>
    </row>
    <row r="197" spans="1:8" ht="15" customHeight="1" x14ac:dyDescent="0.25">
      <c r="A197" s="83" t="s">
        <v>187</v>
      </c>
      <c r="B197" s="83" t="s">
        <v>180</v>
      </c>
      <c r="C197" s="83" t="s">
        <v>236</v>
      </c>
      <c r="D19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7" s="85">
        <f>'Cash Flow Model'!F11</f>
        <v>146616</v>
      </c>
      <c r="F197" s="86">
        <v>4</v>
      </c>
      <c r="G197" s="84" t="s">
        <v>188</v>
      </c>
      <c r="H197" s="84" t="s">
        <v>68</v>
      </c>
    </row>
    <row r="198" spans="1:8" ht="15" customHeight="1" x14ac:dyDescent="0.25">
      <c r="A198" s="80" t="s">
        <v>189</v>
      </c>
      <c r="B198" s="80" t="s">
        <v>180</v>
      </c>
      <c r="C198" s="80" t="s">
        <v>236</v>
      </c>
      <c r="D19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8" s="77">
        <f>'Cash Flow Model'!G11</f>
        <v>156283</v>
      </c>
      <c r="F198" s="82">
        <v>5</v>
      </c>
      <c r="G198" s="81" t="s">
        <v>190</v>
      </c>
      <c r="H198" s="81" t="s">
        <v>68</v>
      </c>
    </row>
    <row r="199" spans="1:8" ht="15" customHeight="1" x14ac:dyDescent="0.25">
      <c r="A199" s="83" t="s">
        <v>191</v>
      </c>
      <c r="B199" s="83" t="s">
        <v>180</v>
      </c>
      <c r="C199" s="83" t="s">
        <v>236</v>
      </c>
      <c r="D19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199" s="85">
        <f>'Cash Flow Model'!H11</f>
        <v>166387</v>
      </c>
      <c r="F199" s="86">
        <v>6</v>
      </c>
      <c r="G199" s="84" t="s">
        <v>192</v>
      </c>
      <c r="H199" s="84" t="s">
        <v>68</v>
      </c>
    </row>
    <row r="200" spans="1:8" ht="15" customHeight="1" x14ac:dyDescent="0.25">
      <c r="A200" s="80" t="s">
        <v>193</v>
      </c>
      <c r="B200" s="80" t="s">
        <v>180</v>
      </c>
      <c r="C200" s="80" t="s">
        <v>236</v>
      </c>
      <c r="D20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0" s="77">
        <f>'Cash Flow Model'!I11</f>
        <v>160501</v>
      </c>
      <c r="F200" s="82">
        <v>7</v>
      </c>
      <c r="G200" s="81" t="s">
        <v>194</v>
      </c>
      <c r="H200" s="81" t="s">
        <v>68</v>
      </c>
    </row>
    <row r="201" spans="1:8" ht="15" customHeight="1" x14ac:dyDescent="0.25">
      <c r="A201" s="83" t="s">
        <v>195</v>
      </c>
      <c r="B201" s="83" t="s">
        <v>180</v>
      </c>
      <c r="C201" s="83" t="s">
        <v>236</v>
      </c>
      <c r="D20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1" s="85">
        <f>'Cash Flow Model'!J11</f>
        <v>155981</v>
      </c>
      <c r="F201" s="86">
        <v>8</v>
      </c>
      <c r="G201" s="84" t="s">
        <v>196</v>
      </c>
      <c r="H201" s="84" t="s">
        <v>68</v>
      </c>
    </row>
    <row r="202" spans="1:8" ht="15" customHeight="1" x14ac:dyDescent="0.25">
      <c r="A202" s="80" t="s">
        <v>197</v>
      </c>
      <c r="B202" s="80" t="s">
        <v>180</v>
      </c>
      <c r="C202" s="80" t="s">
        <v>236</v>
      </c>
      <c r="D20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2" s="77">
        <f>'Cash Flow Model'!K11</f>
        <v>152773</v>
      </c>
      <c r="F202" s="82">
        <v>9</v>
      </c>
      <c r="G202" s="81" t="s">
        <v>198</v>
      </c>
      <c r="H202" s="81" t="s">
        <v>68</v>
      </c>
    </row>
    <row r="203" spans="1:8" ht="15" customHeight="1" x14ac:dyDescent="0.25">
      <c r="A203" s="83" t="s">
        <v>199</v>
      </c>
      <c r="B203" s="83" t="s">
        <v>180</v>
      </c>
      <c r="C203" s="83" t="s">
        <v>236</v>
      </c>
      <c r="D20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3" s="85">
        <f>'Cash Flow Model'!L11</f>
        <v>150720</v>
      </c>
      <c r="F203" s="86">
        <v>10</v>
      </c>
      <c r="G203" s="84" t="s">
        <v>200</v>
      </c>
      <c r="H203" s="84" t="s">
        <v>68</v>
      </c>
    </row>
    <row r="204" spans="1:8" ht="15" customHeight="1" x14ac:dyDescent="0.25">
      <c r="A204" s="80" t="s">
        <v>201</v>
      </c>
      <c r="B204" s="80" t="s">
        <v>180</v>
      </c>
      <c r="C204" s="80" t="s">
        <v>236</v>
      </c>
      <c r="D20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4" s="77">
        <f>'Cash Flow Model'!M11</f>
        <v>149684</v>
      </c>
      <c r="F204" s="82">
        <v>11</v>
      </c>
      <c r="G204" s="81" t="s">
        <v>202</v>
      </c>
      <c r="H204" s="81" t="s">
        <v>68</v>
      </c>
    </row>
    <row r="205" spans="1:8" ht="15" customHeight="1" x14ac:dyDescent="0.25">
      <c r="A205" s="83" t="s">
        <v>203</v>
      </c>
      <c r="B205" s="83" t="s">
        <v>180</v>
      </c>
      <c r="C205" s="83" t="s">
        <v>236</v>
      </c>
      <c r="D20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5" s="85">
        <f>'Cash Flow Model'!N11</f>
        <v>149652</v>
      </c>
      <c r="F205" s="86">
        <v>12</v>
      </c>
      <c r="G205" s="84" t="s">
        <v>204</v>
      </c>
      <c r="H205" s="84" t="s">
        <v>68</v>
      </c>
    </row>
    <row r="206" spans="1:8" ht="15" customHeight="1" x14ac:dyDescent="0.25">
      <c r="A206" s="80" t="s">
        <v>205</v>
      </c>
      <c r="B206" s="80" t="s">
        <v>180</v>
      </c>
      <c r="C206" s="80" t="s">
        <v>236</v>
      </c>
      <c r="D20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6" s="77">
        <f>'Cash Flow Model'!O11</f>
        <v>150504</v>
      </c>
      <c r="F206" s="82">
        <v>13</v>
      </c>
      <c r="G206" s="81" t="s">
        <v>206</v>
      </c>
      <c r="H206" s="81" t="s">
        <v>68</v>
      </c>
    </row>
    <row r="207" spans="1:8" ht="15" customHeight="1" x14ac:dyDescent="0.25">
      <c r="A207" s="83" t="s">
        <v>207</v>
      </c>
      <c r="B207" s="83" t="s">
        <v>180</v>
      </c>
      <c r="C207" s="83" t="s">
        <v>236</v>
      </c>
      <c r="D20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7" s="85">
        <f>'Cash Flow Model'!P11</f>
        <v>152244</v>
      </c>
      <c r="F207" s="86">
        <v>14</v>
      </c>
      <c r="G207" s="84" t="s">
        <v>208</v>
      </c>
      <c r="H207" s="84" t="s">
        <v>68</v>
      </c>
    </row>
    <row r="208" spans="1:8" ht="15" customHeight="1" x14ac:dyDescent="0.25">
      <c r="A208" s="80" t="s">
        <v>209</v>
      </c>
      <c r="B208" s="80" t="s">
        <v>180</v>
      </c>
      <c r="C208" s="80" t="s">
        <v>236</v>
      </c>
      <c r="D20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8" s="77">
        <f>'Cash Flow Model'!Q11</f>
        <v>154765</v>
      </c>
      <c r="F208" s="82">
        <v>15</v>
      </c>
      <c r="G208" s="81" t="s">
        <v>210</v>
      </c>
      <c r="H208" s="81" t="s">
        <v>68</v>
      </c>
    </row>
    <row r="209" spans="1:8" ht="15" customHeight="1" x14ac:dyDescent="0.25">
      <c r="A209" s="83" t="s">
        <v>211</v>
      </c>
      <c r="B209" s="83" t="s">
        <v>180</v>
      </c>
      <c r="C209" s="83" t="s">
        <v>236</v>
      </c>
      <c r="D20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09" s="85">
        <f>'Cash Flow Model'!R11</f>
        <v>157973</v>
      </c>
      <c r="F209" s="86">
        <v>16</v>
      </c>
      <c r="G209" s="84" t="s">
        <v>212</v>
      </c>
      <c r="H209" s="84" t="s">
        <v>68</v>
      </c>
    </row>
    <row r="210" spans="1:8" ht="15" customHeight="1" x14ac:dyDescent="0.25">
      <c r="A210" s="80" t="s">
        <v>213</v>
      </c>
      <c r="B210" s="80" t="s">
        <v>180</v>
      </c>
      <c r="C210" s="80" t="s">
        <v>236</v>
      </c>
      <c r="D21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0" s="77">
        <f>'Cash Flow Model'!S11</f>
        <v>161896</v>
      </c>
      <c r="F210" s="82">
        <v>17</v>
      </c>
      <c r="G210" s="81" t="s">
        <v>214</v>
      </c>
      <c r="H210" s="81" t="s">
        <v>68</v>
      </c>
    </row>
    <row r="211" spans="1:8" ht="15" customHeight="1" x14ac:dyDescent="0.25">
      <c r="A211" s="83" t="s">
        <v>215</v>
      </c>
      <c r="B211" s="83" t="s">
        <v>180</v>
      </c>
      <c r="C211" s="83" t="s">
        <v>236</v>
      </c>
      <c r="D21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1" s="85">
        <f>'Cash Flow Model'!T11</f>
        <v>166448</v>
      </c>
      <c r="F211" s="86">
        <v>18</v>
      </c>
      <c r="G211" s="84" t="s">
        <v>216</v>
      </c>
      <c r="H211" s="84" t="s">
        <v>68</v>
      </c>
    </row>
    <row r="212" spans="1:8" ht="15" customHeight="1" x14ac:dyDescent="0.25">
      <c r="A212" s="80" t="s">
        <v>217</v>
      </c>
      <c r="B212" s="80" t="s">
        <v>180</v>
      </c>
      <c r="C212" s="80" t="s">
        <v>236</v>
      </c>
      <c r="D21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2" s="77">
        <f>'Cash Flow Model'!U11</f>
        <v>171664</v>
      </c>
      <c r="F212" s="82">
        <v>19</v>
      </c>
      <c r="G212" s="81" t="s">
        <v>218</v>
      </c>
      <c r="H212" s="81" t="s">
        <v>68</v>
      </c>
    </row>
    <row r="213" spans="1:8" ht="15" customHeight="1" x14ac:dyDescent="0.25">
      <c r="A213" s="83" t="s">
        <v>219</v>
      </c>
      <c r="B213" s="83" t="s">
        <v>180</v>
      </c>
      <c r="C213" s="83" t="s">
        <v>236</v>
      </c>
      <c r="D21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3" s="85">
        <f>'Cash Flow Model'!V11</f>
        <v>177464</v>
      </c>
      <c r="F213" s="86">
        <v>20</v>
      </c>
      <c r="G213" s="84" t="s">
        <v>220</v>
      </c>
      <c r="H213" s="84" t="s">
        <v>68</v>
      </c>
    </row>
    <row r="214" spans="1:8" ht="15" customHeight="1" x14ac:dyDescent="0.25">
      <c r="A214" s="80" t="s">
        <v>221</v>
      </c>
      <c r="B214" s="80" t="s">
        <v>180</v>
      </c>
      <c r="C214" s="80" t="s">
        <v>236</v>
      </c>
      <c r="D21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4" s="77">
        <f>'Cash Flow Model'!W11</f>
        <v>183888</v>
      </c>
      <c r="F214" s="82">
        <v>21</v>
      </c>
      <c r="G214" s="81" t="s">
        <v>222</v>
      </c>
      <c r="H214" s="81" t="s">
        <v>68</v>
      </c>
    </row>
    <row r="215" spans="1:8" ht="15" customHeight="1" x14ac:dyDescent="0.25">
      <c r="A215" s="83" t="s">
        <v>223</v>
      </c>
      <c r="B215" s="83" t="s">
        <v>180</v>
      </c>
      <c r="C215" s="83" t="s">
        <v>236</v>
      </c>
      <c r="D21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5" s="85">
        <f>'Cash Flow Model'!X11</f>
        <v>190971</v>
      </c>
      <c r="F215" s="86">
        <v>22</v>
      </c>
      <c r="G215" s="84" t="s">
        <v>224</v>
      </c>
      <c r="H215" s="84" t="s">
        <v>68</v>
      </c>
    </row>
    <row r="216" spans="1:8" ht="15" customHeight="1" x14ac:dyDescent="0.25">
      <c r="A216" s="80" t="s">
        <v>225</v>
      </c>
      <c r="B216" s="80" t="s">
        <v>180</v>
      </c>
      <c r="C216" s="80" t="s">
        <v>236</v>
      </c>
      <c r="D21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6" s="77">
        <f>'Cash Flow Model'!Y11</f>
        <v>198634</v>
      </c>
      <c r="F216" s="82">
        <v>23</v>
      </c>
      <c r="G216" s="81" t="s">
        <v>226</v>
      </c>
      <c r="H216" s="81" t="s">
        <v>68</v>
      </c>
    </row>
    <row r="217" spans="1:8" ht="15" customHeight="1" x14ac:dyDescent="0.25">
      <c r="A217" s="83" t="s">
        <v>227</v>
      </c>
      <c r="B217" s="83" t="s">
        <v>180</v>
      </c>
      <c r="C217" s="83" t="s">
        <v>236</v>
      </c>
      <c r="D21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7" s="85">
        <f>'Cash Flow Model'!Z11</f>
        <v>206918</v>
      </c>
      <c r="F217" s="86">
        <v>24</v>
      </c>
      <c r="G217" s="84" t="s">
        <v>228</v>
      </c>
      <c r="H217" s="84" t="s">
        <v>68</v>
      </c>
    </row>
    <row r="218" spans="1:8" ht="15" customHeight="1" x14ac:dyDescent="0.25">
      <c r="A218" s="80" t="s">
        <v>179</v>
      </c>
      <c r="B218" s="80" t="s">
        <v>130</v>
      </c>
      <c r="C218" s="80" t="s">
        <v>237</v>
      </c>
      <c r="D21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8" s="77">
        <f>'Cash Flow Model'!C10</f>
        <v>12500</v>
      </c>
      <c r="F218" s="82">
        <v>1</v>
      </c>
      <c r="G218" s="81" t="s">
        <v>182</v>
      </c>
      <c r="H218" s="81" t="s">
        <v>68</v>
      </c>
    </row>
    <row r="219" spans="1:8" ht="21.75" customHeight="1" x14ac:dyDescent="0.25">
      <c r="A219" s="83" t="s">
        <v>183</v>
      </c>
      <c r="B219" s="83" t="s">
        <v>130</v>
      </c>
      <c r="C219" s="83" t="s">
        <v>237</v>
      </c>
      <c r="D21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19" s="85">
        <f>'Cash Flow Model'!D10</f>
        <v>13125</v>
      </c>
      <c r="F219" s="86">
        <v>2</v>
      </c>
      <c r="G219" s="84" t="s">
        <v>184</v>
      </c>
      <c r="H219" s="84" t="s">
        <v>68</v>
      </c>
    </row>
    <row r="220" spans="1:8" ht="15" customHeight="1" x14ac:dyDescent="0.25">
      <c r="A220" s="80" t="s">
        <v>185</v>
      </c>
      <c r="B220" s="80" t="s">
        <v>130</v>
      </c>
      <c r="C220" s="80" t="s">
        <v>237</v>
      </c>
      <c r="D22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0" s="77">
        <f>'Cash Flow Model'!E10</f>
        <v>13750</v>
      </c>
      <c r="F220" s="82">
        <v>3</v>
      </c>
      <c r="G220" s="81" t="s">
        <v>186</v>
      </c>
      <c r="H220" s="81" t="s">
        <v>68</v>
      </c>
    </row>
    <row r="221" spans="1:8" ht="15" customHeight="1" x14ac:dyDescent="0.25">
      <c r="A221" s="83" t="s">
        <v>187</v>
      </c>
      <c r="B221" s="83" t="s">
        <v>130</v>
      </c>
      <c r="C221" s="83" t="s">
        <v>237</v>
      </c>
      <c r="D22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1" s="85">
        <f>'Cash Flow Model'!F10</f>
        <v>14500</v>
      </c>
      <c r="F221" s="86">
        <v>4</v>
      </c>
      <c r="G221" s="84" t="s">
        <v>188</v>
      </c>
      <c r="H221" s="84" t="s">
        <v>68</v>
      </c>
    </row>
    <row r="222" spans="1:8" ht="15" customHeight="1" x14ac:dyDescent="0.25">
      <c r="A222" s="80" t="s">
        <v>189</v>
      </c>
      <c r="B222" s="80" t="s">
        <v>130</v>
      </c>
      <c r="C222" s="80" t="s">
        <v>237</v>
      </c>
      <c r="D22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2" s="77">
        <f>'Cash Flow Model'!G10</f>
        <v>15250</v>
      </c>
      <c r="F222" s="82">
        <v>5</v>
      </c>
      <c r="G222" s="81" t="s">
        <v>190</v>
      </c>
      <c r="H222" s="81" t="s">
        <v>68</v>
      </c>
    </row>
    <row r="223" spans="1:8" ht="15" customHeight="1" x14ac:dyDescent="0.25">
      <c r="A223" s="83" t="s">
        <v>191</v>
      </c>
      <c r="B223" s="83" t="s">
        <v>130</v>
      </c>
      <c r="C223" s="83" t="s">
        <v>237</v>
      </c>
      <c r="D22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3" s="85">
        <f>'Cash Flow Model'!H10</f>
        <v>16000</v>
      </c>
      <c r="F223" s="86">
        <v>6</v>
      </c>
      <c r="G223" s="84" t="s">
        <v>192</v>
      </c>
      <c r="H223" s="84" t="s">
        <v>68</v>
      </c>
    </row>
    <row r="224" spans="1:8" ht="15" customHeight="1" x14ac:dyDescent="0.25">
      <c r="A224" s="80" t="s">
        <v>193</v>
      </c>
      <c r="B224" s="80" t="s">
        <v>130</v>
      </c>
      <c r="C224" s="80" t="s">
        <v>237</v>
      </c>
      <c r="D22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4" s="77">
        <f>'Cash Flow Model'!I10</f>
        <v>16750</v>
      </c>
      <c r="F224" s="82">
        <v>7</v>
      </c>
      <c r="G224" s="81" t="s">
        <v>194</v>
      </c>
      <c r="H224" s="81" t="s">
        <v>68</v>
      </c>
    </row>
    <row r="225" spans="1:8" ht="15" customHeight="1" x14ac:dyDescent="0.25">
      <c r="A225" s="83" t="s">
        <v>195</v>
      </c>
      <c r="B225" s="83" t="s">
        <v>130</v>
      </c>
      <c r="C225" s="83" t="s">
        <v>237</v>
      </c>
      <c r="D22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5" s="85">
        <f>'Cash Flow Model'!J10</f>
        <v>17625</v>
      </c>
      <c r="F225" s="86">
        <v>8</v>
      </c>
      <c r="G225" s="84" t="s">
        <v>196</v>
      </c>
      <c r="H225" s="84" t="s">
        <v>68</v>
      </c>
    </row>
    <row r="226" spans="1:8" ht="15" customHeight="1" x14ac:dyDescent="0.25">
      <c r="A226" s="80" t="s">
        <v>197</v>
      </c>
      <c r="B226" s="80" t="s">
        <v>130</v>
      </c>
      <c r="C226" s="80" t="s">
        <v>237</v>
      </c>
      <c r="D22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6" s="77">
        <f>'Cash Flow Model'!K10</f>
        <v>18500</v>
      </c>
      <c r="F226" s="82">
        <v>9</v>
      </c>
      <c r="G226" s="81" t="s">
        <v>198</v>
      </c>
      <c r="H226" s="81" t="s">
        <v>68</v>
      </c>
    </row>
    <row r="227" spans="1:8" ht="15" customHeight="1" x14ac:dyDescent="0.25">
      <c r="A227" s="83" t="s">
        <v>199</v>
      </c>
      <c r="B227" s="83" t="s">
        <v>130</v>
      </c>
      <c r="C227" s="83" t="s">
        <v>237</v>
      </c>
      <c r="D22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7" s="85">
        <f>'Cash Flow Model'!L10</f>
        <v>19375</v>
      </c>
      <c r="F227" s="86">
        <v>10</v>
      </c>
      <c r="G227" s="84" t="s">
        <v>200</v>
      </c>
      <c r="H227" s="84" t="s">
        <v>68</v>
      </c>
    </row>
    <row r="228" spans="1:8" ht="15" customHeight="1" x14ac:dyDescent="0.25">
      <c r="A228" s="80" t="s">
        <v>201</v>
      </c>
      <c r="B228" s="80" t="s">
        <v>130</v>
      </c>
      <c r="C228" s="80" t="s">
        <v>237</v>
      </c>
      <c r="D22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8" s="77">
        <f>'Cash Flow Model'!M10</f>
        <v>20375</v>
      </c>
      <c r="F228" s="82">
        <v>11</v>
      </c>
      <c r="G228" s="81" t="s">
        <v>202</v>
      </c>
      <c r="H228" s="81" t="s">
        <v>68</v>
      </c>
    </row>
    <row r="229" spans="1:8" ht="15" customHeight="1" x14ac:dyDescent="0.25">
      <c r="A229" s="83" t="s">
        <v>203</v>
      </c>
      <c r="B229" s="83" t="s">
        <v>130</v>
      </c>
      <c r="C229" s="83" t="s">
        <v>237</v>
      </c>
      <c r="D22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29" s="85">
        <f>'Cash Flow Model'!N10</f>
        <v>21375</v>
      </c>
      <c r="F229" s="86">
        <v>12</v>
      </c>
      <c r="G229" s="84" t="s">
        <v>204</v>
      </c>
      <c r="H229" s="84" t="s">
        <v>68</v>
      </c>
    </row>
    <row r="230" spans="1:8" ht="15" customHeight="1" x14ac:dyDescent="0.25">
      <c r="A230" s="80" t="s">
        <v>205</v>
      </c>
      <c r="B230" s="80" t="s">
        <v>130</v>
      </c>
      <c r="C230" s="80" t="s">
        <v>237</v>
      </c>
      <c r="D23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0" s="77">
        <f>'Cash Flow Model'!O10</f>
        <v>22500</v>
      </c>
      <c r="F230" s="82">
        <v>13</v>
      </c>
      <c r="G230" s="81" t="s">
        <v>206</v>
      </c>
      <c r="H230" s="81" t="s">
        <v>68</v>
      </c>
    </row>
    <row r="231" spans="1:8" ht="15" customHeight="1" x14ac:dyDescent="0.25">
      <c r="A231" s="83" t="s">
        <v>207</v>
      </c>
      <c r="B231" s="83" t="s">
        <v>130</v>
      </c>
      <c r="C231" s="83" t="s">
        <v>237</v>
      </c>
      <c r="D23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1" s="85">
        <f>'Cash Flow Model'!P10</f>
        <v>23625</v>
      </c>
      <c r="F231" s="86">
        <v>14</v>
      </c>
      <c r="G231" s="84" t="s">
        <v>208</v>
      </c>
      <c r="H231" s="84" t="s">
        <v>68</v>
      </c>
    </row>
    <row r="232" spans="1:8" ht="15" customHeight="1" x14ac:dyDescent="0.25">
      <c r="A232" s="80" t="s">
        <v>209</v>
      </c>
      <c r="B232" s="80" t="s">
        <v>130</v>
      </c>
      <c r="C232" s="80" t="s">
        <v>237</v>
      </c>
      <c r="D232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2" s="77">
        <f>'Cash Flow Model'!Q10</f>
        <v>24750</v>
      </c>
      <c r="F232" s="82">
        <v>15</v>
      </c>
      <c r="G232" s="81" t="s">
        <v>210</v>
      </c>
      <c r="H232" s="81" t="s">
        <v>68</v>
      </c>
    </row>
    <row r="233" spans="1:8" ht="15" customHeight="1" x14ac:dyDescent="0.25">
      <c r="A233" s="83" t="s">
        <v>211</v>
      </c>
      <c r="B233" s="83" t="s">
        <v>130</v>
      </c>
      <c r="C233" s="83" t="s">
        <v>237</v>
      </c>
      <c r="D233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3" s="85">
        <f>'Cash Flow Model'!R10</f>
        <v>26000</v>
      </c>
      <c r="F233" s="86">
        <v>16</v>
      </c>
      <c r="G233" s="84" t="s">
        <v>212</v>
      </c>
      <c r="H233" s="84" t="s">
        <v>68</v>
      </c>
    </row>
    <row r="234" spans="1:8" ht="15" customHeight="1" x14ac:dyDescent="0.25">
      <c r="A234" s="80" t="s">
        <v>213</v>
      </c>
      <c r="B234" s="80" t="s">
        <v>130</v>
      </c>
      <c r="C234" s="80" t="s">
        <v>237</v>
      </c>
      <c r="D234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4" s="77">
        <f>'Cash Flow Model'!S10</f>
        <v>27250</v>
      </c>
      <c r="F234" s="82">
        <v>17</v>
      </c>
      <c r="G234" s="81" t="s">
        <v>214</v>
      </c>
      <c r="H234" s="81" t="s">
        <v>68</v>
      </c>
    </row>
    <row r="235" spans="1:8" ht="15" customHeight="1" x14ac:dyDescent="0.25">
      <c r="A235" s="83" t="s">
        <v>215</v>
      </c>
      <c r="B235" s="83" t="s">
        <v>130</v>
      </c>
      <c r="C235" s="83" t="s">
        <v>237</v>
      </c>
      <c r="D235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5" s="85">
        <f>'Cash Flow Model'!T10</f>
        <v>28625</v>
      </c>
      <c r="F235" s="86">
        <v>18</v>
      </c>
      <c r="G235" s="84" t="s">
        <v>216</v>
      </c>
      <c r="H235" s="84" t="s">
        <v>68</v>
      </c>
    </row>
    <row r="236" spans="1:8" ht="15" customHeight="1" x14ac:dyDescent="0.25">
      <c r="A236" s="80" t="s">
        <v>217</v>
      </c>
      <c r="B236" s="80" t="s">
        <v>130</v>
      </c>
      <c r="C236" s="80" t="s">
        <v>237</v>
      </c>
      <c r="D236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6" s="77">
        <f>'Cash Flow Model'!U10</f>
        <v>30000</v>
      </c>
      <c r="F236" s="82">
        <v>19</v>
      </c>
      <c r="G236" s="81" t="s">
        <v>218</v>
      </c>
      <c r="H236" s="81" t="s">
        <v>68</v>
      </c>
    </row>
    <row r="237" spans="1:8" ht="15" customHeight="1" x14ac:dyDescent="0.25">
      <c r="A237" s="83" t="s">
        <v>219</v>
      </c>
      <c r="B237" s="83" t="s">
        <v>130</v>
      </c>
      <c r="C237" s="83" t="s">
        <v>237</v>
      </c>
      <c r="D237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7" s="85">
        <f>'Cash Flow Model'!V10</f>
        <v>31500</v>
      </c>
      <c r="F237" s="86">
        <v>20</v>
      </c>
      <c r="G237" s="84" t="s">
        <v>220</v>
      </c>
      <c r="H237" s="84" t="s">
        <v>68</v>
      </c>
    </row>
    <row r="238" spans="1:8" ht="15" customHeight="1" x14ac:dyDescent="0.25">
      <c r="A238" s="80" t="s">
        <v>221</v>
      </c>
      <c r="B238" s="80" t="s">
        <v>130</v>
      </c>
      <c r="C238" s="80" t="s">
        <v>237</v>
      </c>
      <c r="D238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8" s="77">
        <f>'Cash Flow Model'!W10</f>
        <v>33125</v>
      </c>
      <c r="F238" s="82">
        <v>21</v>
      </c>
      <c r="G238" s="81" t="s">
        <v>222</v>
      </c>
      <c r="H238" s="81" t="s">
        <v>68</v>
      </c>
    </row>
    <row r="239" spans="1:8" ht="15" customHeight="1" x14ac:dyDescent="0.25">
      <c r="A239" s="83" t="s">
        <v>223</v>
      </c>
      <c r="B239" s="83" t="s">
        <v>130</v>
      </c>
      <c r="C239" s="83" t="s">
        <v>237</v>
      </c>
      <c r="D239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39" s="85">
        <f>'Cash Flow Model'!X10</f>
        <v>34750</v>
      </c>
      <c r="F239" s="86">
        <v>22</v>
      </c>
      <c r="G239" s="84" t="s">
        <v>224</v>
      </c>
      <c r="H239" s="84" t="s">
        <v>68</v>
      </c>
    </row>
    <row r="240" spans="1:8" ht="15" customHeight="1" x14ac:dyDescent="0.25">
      <c r="A240" s="80" t="s">
        <v>225</v>
      </c>
      <c r="B240" s="80" t="s">
        <v>130</v>
      </c>
      <c r="C240" s="80" t="s">
        <v>237</v>
      </c>
      <c r="D240" s="81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40" s="77">
        <f>'Cash Flow Model'!Y10</f>
        <v>36500</v>
      </c>
      <c r="F240" s="82">
        <v>23</v>
      </c>
      <c r="G240" s="81" t="s">
        <v>226</v>
      </c>
      <c r="H240" s="81" t="s">
        <v>68</v>
      </c>
    </row>
    <row r="241" spans="1:8" ht="15" customHeight="1" x14ac:dyDescent="0.25">
      <c r="A241" s="83" t="s">
        <v>227</v>
      </c>
      <c r="B241" s="83" t="s">
        <v>130</v>
      </c>
      <c r="C241" s="83" t="s">
        <v>237</v>
      </c>
      <c r="D241" s="84" t="str">
        <f>IF(SUMPRODUCT((Decisions!D4:D11=1)*1)=0,"Baseline",SUBSTITUTE(TRIM(IF(Decisions!D4=1,"CutMktg ","")&amp;IF(Decisions!D5=1,"CutHead ","")&amp;IF(Decisions!D6=1,"FrzHire ","")&amp;IF(Decisions!D7=1,"PriceUp ","")&amp;IF(Decisions!D8=1,"RetChurn ","")&amp;IF(Decisions!D9=1,"KillInfra ","")&amp;IF(Decisions!D10=1,"FastAR ","")&amp;IF(Decisions!D11=1,"Fundraise",""))," ","+"))</f>
        <v>CutMktg+FrzHire</v>
      </c>
      <c r="E241" s="85">
        <f>'Cash Flow Model'!Z10</f>
        <v>38375</v>
      </c>
      <c r="F241" s="86">
        <v>24</v>
      </c>
      <c r="G241" s="84" t="s">
        <v>228</v>
      </c>
      <c r="H241" s="84" t="s">
        <v>68</v>
      </c>
    </row>
    <row r="242" spans="1:8" ht="15" customHeight="1" x14ac:dyDescent="0.25">
      <c r="A242" s="80"/>
      <c r="B242" s="80"/>
      <c r="C242" s="80"/>
      <c r="D242" s="81"/>
      <c r="E242" s="77"/>
    </row>
    <row r="243" spans="1:8" ht="15" customHeight="1" x14ac:dyDescent="0.25">
      <c r="A243" s="87" t="s">
        <v>238</v>
      </c>
      <c r="B243" s="87"/>
      <c r="C243" s="87"/>
      <c r="D243" s="87"/>
      <c r="E243" s="87"/>
    </row>
  </sheetData>
  <mergeCells count="1">
    <mergeCell ref="A243:E2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Assumptions</vt:lpstr>
      <vt:lpstr>Decisions</vt:lpstr>
      <vt:lpstr>Cash Flow Model</vt:lpstr>
      <vt:lpstr>Export_Data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Maksim Pishchalau</cp:lastModifiedBy>
  <cp:revision>0</cp:revision>
  <dcterms:created xsi:type="dcterms:W3CDTF">2026-04-16T17:33:21Z</dcterms:created>
  <dcterms:modified xsi:type="dcterms:W3CDTF">2026-04-19T11:09:21Z</dcterms:modified>
  <dc:language>en-US</dc:language>
</cp:coreProperties>
</file>